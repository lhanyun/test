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中联门户\呈批相关\"/>
    </mc:Choice>
  </mc:AlternateContent>
  <bookViews>
    <workbookView xWindow="0" yWindow="0" windowWidth="32004" windowHeight="12600" tabRatio="585" activeTab="1"/>
  </bookViews>
  <sheets>
    <sheet name="客户门户移动端" sheetId="1" r:id="rId1"/>
    <sheet name="客户门户PC端" sheetId="2" r:id="rId2"/>
    <sheet name="大数据推荐引擎" sheetId="4" r:id="rId3"/>
    <sheet name="外协人天" sheetId="3" r:id="rId4"/>
  </sheets>
  <definedNames>
    <definedName name="_xlnm._FilterDatabase" localSheetId="0" hidden="1">客户门户移动端!$A$2:$P$224</definedName>
  </definedNames>
  <calcPr calcId="162913"/>
</workbook>
</file>

<file path=xl/calcChain.xml><?xml version="1.0" encoding="utf-8"?>
<calcChain xmlns="http://schemas.openxmlformats.org/spreadsheetml/2006/main">
  <c r="F112" i="3" l="1"/>
  <c r="E112" i="3"/>
  <c r="H223" i="1"/>
  <c r="I223" i="1"/>
  <c r="J223" i="1"/>
  <c r="K223" i="1"/>
  <c r="L223" i="1"/>
  <c r="M223" i="1"/>
  <c r="N223" i="1"/>
  <c r="G112" i="3" l="1"/>
  <c r="L14" i="2"/>
  <c r="K14" i="2"/>
  <c r="J14" i="2"/>
  <c r="I14" i="2"/>
  <c r="H14" i="2"/>
  <c r="G14" i="2"/>
  <c r="G223" i="1"/>
  <c r="O223" i="1" s="1"/>
  <c r="M14" i="2" l="1"/>
</calcChain>
</file>

<file path=xl/sharedStrings.xml><?xml version="1.0" encoding="utf-8"?>
<sst xmlns="http://schemas.openxmlformats.org/spreadsheetml/2006/main" count="1509" uniqueCount="296">
  <si>
    <t>序号</t>
  </si>
  <si>
    <t>大类</t>
  </si>
  <si>
    <t>功能名称</t>
  </si>
  <si>
    <t>功能点</t>
  </si>
  <si>
    <t>明细</t>
  </si>
  <si>
    <t>备注</t>
  </si>
  <si>
    <t>人天估算</t>
  </si>
  <si>
    <t>产品原型</t>
  </si>
  <si>
    <t>UI</t>
  </si>
  <si>
    <t>需求沟通</t>
  </si>
  <si>
    <t>APP-iOS</t>
  </si>
  <si>
    <t>APP-Android</t>
  </si>
  <si>
    <t>APP-web前端</t>
  </si>
  <si>
    <t>后台</t>
  </si>
  <si>
    <t>测试</t>
  </si>
  <si>
    <t>人天小计</t>
  </si>
  <si>
    <t>内部人天预算（万元）</t>
  </si>
  <si>
    <t>注册登录</t>
  </si>
  <si>
    <t>注册</t>
  </si>
  <si>
    <t xml:space="preserve">登录
</t>
  </si>
  <si>
    <t xml:space="preserve">忘记密码
</t>
  </si>
  <si>
    <t>未登录</t>
  </si>
  <si>
    <t>未登录用户可以使用范围</t>
  </si>
  <si>
    <t>用户偏好</t>
  </si>
  <si>
    <t>行业列表</t>
  </si>
  <si>
    <t>/</t>
  </si>
  <si>
    <t>中联门户
app端</t>
  </si>
  <si>
    <t>首页</t>
  </si>
  <si>
    <t>功能搜索</t>
  </si>
  <si>
    <t>搜索</t>
  </si>
  <si>
    <t>宣传栏</t>
  </si>
  <si>
    <t>广告图轮播显示</t>
  </si>
  <si>
    <t>消息</t>
  </si>
  <si>
    <t>显示最新的两条消息内容</t>
  </si>
  <si>
    <t>我的应用</t>
  </si>
  <si>
    <t>用户自定义的功能入口</t>
  </si>
  <si>
    <t>新闻动态</t>
  </si>
  <si>
    <t>显示最新的一条新闻标题</t>
  </si>
  <si>
    <t>营销位</t>
  </si>
  <si>
    <t>营销广告图位置</t>
  </si>
  <si>
    <t>快捷入口</t>
  </si>
  <si>
    <t>常用功能入口</t>
  </si>
  <si>
    <t>引导页</t>
  </si>
  <si>
    <t>首次进入引导页</t>
  </si>
  <si>
    <t>全部应用</t>
  </si>
  <si>
    <t>用户所选的应用列表</t>
  </si>
  <si>
    <t>营销类</t>
  </si>
  <si>
    <t>仅考虑功能入口实现，具体内部功能需求逻辑见后面章节</t>
  </si>
  <si>
    <t>服务类</t>
  </si>
  <si>
    <t>配件类</t>
  </si>
  <si>
    <t>金融类</t>
  </si>
  <si>
    <t>设备类</t>
  </si>
  <si>
    <t>其他</t>
  </si>
  <si>
    <t>应用列表</t>
  </si>
  <si>
    <t>后台配置所有应用列表</t>
  </si>
  <si>
    <t>新闻列表</t>
  </si>
  <si>
    <t>展现中联新闻动态</t>
  </si>
  <si>
    <t>新闻详情</t>
  </si>
  <si>
    <t>新闻正文</t>
  </si>
  <si>
    <t>设备管理</t>
  </si>
  <si>
    <t>设备列表</t>
  </si>
  <si>
    <t>以智管设备列表形式显示账号下设备信息</t>
  </si>
  <si>
    <t>设备列表数据接口</t>
  </si>
  <si>
    <t>设备详情页签展示</t>
  </si>
  <si>
    <t>设备概览</t>
  </si>
  <si>
    <t>设备总数</t>
  </si>
  <si>
    <t>设备开工情况统计</t>
  </si>
  <si>
    <t>设备操作异常统计</t>
  </si>
  <si>
    <t>异常设备</t>
  </si>
  <si>
    <t>产品中心</t>
  </si>
  <si>
    <t>6月31日，使用中联重科公众号里面的“产品电子图册”</t>
  </si>
  <si>
    <t>接入新版产品电子图册</t>
  </si>
  <si>
    <t>我的</t>
  </si>
  <si>
    <t>个人设置</t>
  </si>
  <si>
    <t>个人资料</t>
  </si>
  <si>
    <t>账号管理</t>
  </si>
  <si>
    <t>企业设置</t>
  </si>
  <si>
    <t>通用功能</t>
  </si>
  <si>
    <t>分公司切换</t>
  </si>
  <si>
    <t>消息中心</t>
  </si>
  <si>
    <t>设备异常提醒</t>
  </si>
  <si>
    <t>保养提醒</t>
  </si>
  <si>
    <t>身份认证</t>
  </si>
  <si>
    <t>应用认证分级</t>
  </si>
  <si>
    <t>个人身份认证</t>
  </si>
  <si>
    <t>公司身份认证</t>
  </si>
  <si>
    <t>相关功能</t>
  </si>
  <si>
    <t>中联助手</t>
  </si>
  <si>
    <t>功能移植</t>
  </si>
  <si>
    <t>中联助手功能移植</t>
  </si>
  <si>
    <t>框架改造</t>
  </si>
  <si>
    <t>功能拆分应用</t>
  </si>
  <si>
    <t>外部人天开发</t>
  </si>
  <si>
    <t>报修申请-逻辑</t>
  </si>
  <si>
    <t>报修申请输入</t>
  </si>
  <si>
    <t>服务订单主状态</t>
  </si>
  <si>
    <t>服务订单范围</t>
  </si>
  <si>
    <t>服务订单列表</t>
  </si>
  <si>
    <t>订单详情-召请服务</t>
  </si>
  <si>
    <t>订单详情-主动服务</t>
  </si>
  <si>
    <t>订单详情-保障中心业务</t>
  </si>
  <si>
    <t>订单详情</t>
  </si>
  <si>
    <t>服务订单</t>
  </si>
  <si>
    <t>判断用户认证等级</t>
  </si>
  <si>
    <t>提交配件需求</t>
  </si>
  <si>
    <t>配件需求列表</t>
  </si>
  <si>
    <t>配件订单分类</t>
  </si>
  <si>
    <t>配件订单列表</t>
  </si>
  <si>
    <t>配件订单详情</t>
  </si>
  <si>
    <t>服务发票</t>
  </si>
  <si>
    <t>开票信息管理</t>
  </si>
  <si>
    <t>开票申请</t>
  </si>
  <si>
    <t>订单开票管理</t>
  </si>
  <si>
    <t>支付需求</t>
  </si>
  <si>
    <t>通知</t>
  </si>
  <si>
    <t>支付页面</t>
  </si>
  <si>
    <t>配件充值卡</t>
  </si>
  <si>
    <t>门户消息</t>
  </si>
  <si>
    <t>服务消息</t>
  </si>
  <si>
    <t>合同签章功能移植</t>
  </si>
  <si>
    <t>合同签章</t>
  </si>
  <si>
    <t>合同签章应用改造</t>
  </si>
  <si>
    <t>CRM客户注册及转正</t>
  </si>
  <si>
    <t>电子合同（发货、定金）</t>
  </si>
  <si>
    <t>合同状态</t>
  </si>
  <si>
    <t>消息/短信提醒</t>
  </si>
  <si>
    <t>合同列表</t>
  </si>
  <si>
    <t>待签文件详情</t>
  </si>
  <si>
    <t>签章中文件详情</t>
  </si>
  <si>
    <t>已签文件详情</t>
  </si>
  <si>
    <t>已失效文件详情</t>
  </si>
  <si>
    <t>设备签收</t>
  </si>
  <si>
    <t>状态</t>
  </si>
  <si>
    <t>列表</t>
  </si>
  <si>
    <t>详情</t>
  </si>
  <si>
    <t>发票签收</t>
  </si>
  <si>
    <t>签章消息</t>
  </si>
  <si>
    <t>身份认证消息</t>
  </si>
  <si>
    <t>设备签收消息</t>
  </si>
  <si>
    <t>电子合同消息</t>
  </si>
  <si>
    <t>发票签收消息</t>
  </si>
  <si>
    <t>接口改造</t>
  </si>
  <si>
    <t>改造相关接口</t>
  </si>
  <si>
    <t>首页门户</t>
  </si>
  <si>
    <t>首页概览</t>
  </si>
  <si>
    <t>设备分布</t>
  </si>
  <si>
    <t>设备分布数据接口</t>
  </si>
  <si>
    <t>单台设备详情</t>
  </si>
  <si>
    <t>设备基本信息</t>
  </si>
  <si>
    <t>设备基本信息数据接口</t>
  </si>
  <si>
    <t>设备轨迹</t>
  </si>
  <si>
    <t>设备定位</t>
  </si>
  <si>
    <t>设备档案</t>
  </si>
  <si>
    <t>单台设备工作统计</t>
  </si>
  <si>
    <t>设备工况</t>
  </si>
  <si>
    <t>单台设备保养</t>
  </si>
  <si>
    <t>单条设备异常</t>
  </si>
  <si>
    <t>单台设备操作异常</t>
  </si>
  <si>
    <t>设备证件档案显示</t>
  </si>
  <si>
    <t>分配人员</t>
  </si>
  <si>
    <t>工作统计</t>
  </si>
  <si>
    <t>所有设备工作统计</t>
  </si>
  <si>
    <t>设备排名</t>
  </si>
  <si>
    <t>设备异常
（设备故障）</t>
  </si>
  <si>
    <t>设备异常列表</t>
  </si>
  <si>
    <t>设备异常详情</t>
  </si>
  <si>
    <t>设备异常数据接口</t>
  </si>
  <si>
    <t>设备操作异常</t>
  </si>
  <si>
    <t>设备操作异常列表</t>
  </si>
  <si>
    <t>设备操作异常详情</t>
  </si>
  <si>
    <t>设备操作异常数据接口</t>
  </si>
  <si>
    <t>保养管理</t>
  </si>
  <si>
    <t>保养列表</t>
  </si>
  <si>
    <t>保养详情</t>
  </si>
  <si>
    <t>保养数据接口</t>
  </si>
  <si>
    <t>项目管理</t>
  </si>
  <si>
    <t>项目列表</t>
  </si>
  <si>
    <t>项目详情</t>
  </si>
  <si>
    <t>新增项目</t>
  </si>
  <si>
    <t>围栏设置</t>
  </si>
  <si>
    <t>机组分布</t>
  </si>
  <si>
    <t>添加设备申请</t>
  </si>
  <si>
    <t>设备管理列表</t>
  </si>
  <si>
    <t>视频监控</t>
  </si>
  <si>
    <t>吊装选择</t>
  </si>
  <si>
    <t>拆分应用</t>
  </si>
  <si>
    <t>快速找车</t>
  </si>
  <si>
    <t>施工列表</t>
  </si>
  <si>
    <t>输入吊物数据</t>
  </si>
  <si>
    <t>自有车列表</t>
  </si>
  <si>
    <t>附近的车列表</t>
  </si>
  <si>
    <t>吨位列表</t>
  </si>
  <si>
    <t>指定型号-型号列表</t>
  </si>
  <si>
    <t>参数对比</t>
  </si>
  <si>
    <t>工况列表</t>
  </si>
  <si>
    <t>新建施工保存草稿</t>
  </si>
  <si>
    <t>施工详情+工况信息</t>
  </si>
  <si>
    <t>新建/编辑施工项目</t>
  </si>
  <si>
    <t>联系车主</t>
  </si>
  <si>
    <t>联系记录</t>
  </si>
  <si>
    <t>智享</t>
  </si>
  <si>
    <t>底层改造</t>
  </si>
  <si>
    <t>智享底层改造</t>
  </si>
  <si>
    <t>在线投保</t>
  </si>
  <si>
    <t>保险首页</t>
  </si>
  <si>
    <t>图片上传</t>
  </si>
  <si>
    <t>投保方案选择</t>
  </si>
  <si>
    <t>投保方案询价</t>
  </si>
  <si>
    <t>消息推送</t>
  </si>
  <si>
    <t>报价列表</t>
  </si>
  <si>
    <t>报价详情</t>
  </si>
  <si>
    <t>400人工客服咨询</t>
  </si>
  <si>
    <t>选择投保公司</t>
  </si>
  <si>
    <t>填写邮寄及开票信息</t>
  </si>
  <si>
    <t>订单确认</t>
  </si>
  <si>
    <t>上传付款凭证</t>
  </si>
  <si>
    <t>在线查询</t>
  </si>
  <si>
    <t>保单列表（本地）</t>
  </si>
  <si>
    <t>保单详情</t>
  </si>
  <si>
    <t>物流查询</t>
  </si>
  <si>
    <t>理赔进度查询</t>
  </si>
  <si>
    <t>一键报案</t>
  </si>
  <si>
    <t>微信小程序</t>
  </si>
  <si>
    <t>与App版本功能保持一致，不包括设备管理、合同签署功能、智享保险三块功能</t>
  </si>
  <si>
    <t>总计</t>
  </si>
  <si>
    <t>前端</t>
  </si>
  <si>
    <t>运营管理平台</t>
  </si>
  <si>
    <t>广告管理</t>
  </si>
  <si>
    <t>广告图配置</t>
  </si>
  <si>
    <t>按照行业配置广告图</t>
  </si>
  <si>
    <t>营销模块管理</t>
  </si>
  <si>
    <t>营销图配置</t>
  </si>
  <si>
    <t>按照行业配置营销图</t>
  </si>
  <si>
    <t>新闻管理</t>
  </si>
  <si>
    <t>新闻动态列表</t>
  </si>
  <si>
    <t>角色管理</t>
  </si>
  <si>
    <t>应用配置</t>
  </si>
  <si>
    <t>为角色配置应用模板</t>
  </si>
  <si>
    <t>预设应用</t>
  </si>
  <si>
    <t>应用管理</t>
  </si>
  <si>
    <t>应用排序管理功能</t>
  </si>
  <si>
    <t>公司管理</t>
  </si>
  <si>
    <t>用户管理</t>
  </si>
  <si>
    <t>分析统计</t>
  </si>
  <si>
    <t>系统管理</t>
  </si>
  <si>
    <t>/</t>
    <phoneticPr fontId="2" type="noConversion"/>
  </si>
  <si>
    <t>帮助中心</t>
  </si>
  <si>
    <t>还款管理</t>
  </si>
  <si>
    <t>提交回款</t>
  </si>
  <si>
    <t>回款统计</t>
  </si>
  <si>
    <t>票据</t>
  </si>
  <si>
    <t>/</t>
    <phoneticPr fontId="4" type="noConversion"/>
  </si>
  <si>
    <t>与App版本功能保持一致，不包括合同签署，中联助手功能功能</t>
    <phoneticPr fontId="2" type="noConversion"/>
  </si>
  <si>
    <t>支付模块</t>
    <phoneticPr fontId="4" type="noConversion"/>
  </si>
  <si>
    <t>门户消息</t>
    <phoneticPr fontId="4" type="noConversion"/>
  </si>
  <si>
    <t>首页</t>
    <phoneticPr fontId="4" type="noConversion"/>
  </si>
  <si>
    <t>项目操作异常列表</t>
    <phoneticPr fontId="4" type="noConversion"/>
  </si>
  <si>
    <t>客户建议</t>
  </si>
  <si>
    <t>提交建议</t>
  </si>
  <si>
    <t>建议回复</t>
  </si>
  <si>
    <t>客户签署电子单据</t>
    <phoneticPr fontId="4" type="noConversion"/>
  </si>
  <si>
    <t>中联助手</t>
    <phoneticPr fontId="4" type="noConversion"/>
  </si>
  <si>
    <t>中联助手</t>
    <phoneticPr fontId="2" type="noConversion"/>
  </si>
  <si>
    <t>合同签章</t>
    <phoneticPr fontId="2" type="noConversion"/>
  </si>
  <si>
    <t>电子合同（发货、定金）</t>
    <phoneticPr fontId="4" type="noConversion"/>
  </si>
  <si>
    <t>/</t>
    <phoneticPr fontId="4" type="noConversion"/>
  </si>
  <si>
    <t>智管英文版APP</t>
    <phoneticPr fontId="2" type="noConversion"/>
  </si>
  <si>
    <t>人天估算</t>
    <phoneticPr fontId="4" type="noConversion"/>
  </si>
  <si>
    <t>APP-web前端</t>
    <phoneticPr fontId="4" type="noConversion"/>
  </si>
  <si>
    <t>包含外部人天：156</t>
    <phoneticPr fontId="2" type="noConversion"/>
  </si>
  <si>
    <t>包含外部人天：131</t>
    <phoneticPr fontId="2" type="noConversion"/>
  </si>
  <si>
    <t>包含外部人天：287</t>
    <phoneticPr fontId="2" type="noConversion"/>
  </si>
  <si>
    <r>
      <rPr>
        <sz val="11"/>
        <color theme="1"/>
        <rFont val="宋体"/>
        <family val="3"/>
        <charset val="134"/>
      </rPr>
      <t>中联门户
PC版</t>
    </r>
  </si>
  <si>
    <t>智租设备表合并展示</t>
    <phoneticPr fontId="2" type="noConversion"/>
  </si>
  <si>
    <t>按设备详情页签展示</t>
    <phoneticPr fontId="2" type="noConversion"/>
  </si>
  <si>
    <t>角色</t>
  </si>
  <si>
    <t>职责</t>
  </si>
  <si>
    <t>人数</t>
  </si>
  <si>
    <t>内/外部人天</t>
  </si>
  <si>
    <t>预估人天</t>
  </si>
  <si>
    <t>技术经理、数据科学家</t>
  </si>
  <si>
    <t>小组协调，需求细化，推荐系统架构与模型算法选型，模型算法指导、开发</t>
  </si>
  <si>
    <t>内部</t>
  </si>
  <si>
    <t>1*3*15+1*3*10=75</t>
  </si>
  <si>
    <t>算法工程师</t>
  </si>
  <si>
    <t>客户画像、资源画像、特征工程，推荐算法开发、调试、部署、优化</t>
  </si>
  <si>
    <t>数据仓库工程师</t>
  </si>
  <si>
    <t>数据仓库设计与开发</t>
  </si>
  <si>
    <t>ETL工程师</t>
  </si>
  <si>
    <t>数据仓库数据采集和清晰</t>
  </si>
  <si>
    <t>大数据开发工程师</t>
  </si>
  <si>
    <t>推荐系统大数据后台架构搭建，推荐流程和数仓开发</t>
  </si>
  <si>
    <t>JAVA开发工程师</t>
  </si>
  <si>
    <t>数据接口开发（物联数据模块、推荐引擎模块）</t>
  </si>
  <si>
    <t>汇总</t>
  </si>
  <si>
    <t>1*22*6+2*22*3=264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</si>
</sst>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51515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27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vertical="center" wrapText="1"/>
    </xf>
    <xf numFmtId="0" fontId="7" fillId="0" borderId="0" xfId="0" applyFont="1">
      <alignment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1" applyFont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5" fillId="5" borderId="4" xfId="0" applyNumberFormat="1" applyFont="1" applyFill="1" applyBorder="1" applyAlignment="1">
      <alignment vertical="center" wrapText="1"/>
    </xf>
    <xf numFmtId="0" fontId="3" fillId="5" borderId="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5" borderId="4" xfId="0" applyNumberFormat="1" applyFont="1" applyFill="1" applyBorder="1" applyAlignment="1">
      <alignment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3" fillId="5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right" vertical="center"/>
    </xf>
    <xf numFmtId="0" fontId="15" fillId="2" borderId="1" xfId="2" applyFont="1" applyFill="1" applyBorder="1" applyAlignment="1">
      <alignment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4" xfId="0" applyNumberFormat="1" applyFont="1" applyFill="1" applyBorder="1" applyAlignment="1">
      <alignment vertical="center" wrapText="1"/>
    </xf>
    <xf numFmtId="0" fontId="7" fillId="4" borderId="4" xfId="0" applyNumberFormat="1" applyFont="1" applyFill="1" applyBorder="1" applyAlignment="1">
      <alignment vertical="center" wrapText="1"/>
    </xf>
    <xf numFmtId="0" fontId="16" fillId="4" borderId="4" xfId="0" applyNumberFormat="1" applyFont="1" applyFill="1" applyBorder="1" applyAlignment="1">
      <alignment vertical="center" wrapText="1"/>
    </xf>
    <xf numFmtId="0" fontId="7" fillId="4" borderId="1" xfId="0" applyNumberFormat="1" applyFont="1" applyFill="1" applyBorder="1" applyAlignment="1">
      <alignment vertical="center" wrapText="1"/>
    </xf>
    <xf numFmtId="0" fontId="17" fillId="4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15" fillId="2" borderId="8" xfId="2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 readingOrder="1"/>
    </xf>
    <xf numFmtId="0" fontId="19" fillId="4" borderId="1" xfId="0" applyFont="1" applyFill="1" applyBorder="1" applyAlignment="1">
      <alignment horizontal="left" vertical="center" wrapText="1" readingOrder="1"/>
    </xf>
    <xf numFmtId="0" fontId="19" fillId="3" borderId="1" xfId="0" applyFont="1" applyFill="1" applyBorder="1" applyAlignment="1">
      <alignment horizontal="center" vertical="center" wrapText="1" readingOrder="1"/>
    </xf>
    <xf numFmtId="0" fontId="19" fillId="3" borderId="1" xfId="0" applyFont="1" applyFill="1" applyBorder="1" applyAlignment="1">
      <alignment horizontal="left" vertical="center" wrapText="1" readingOrder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8" fillId="2" borderId="1" xfId="1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8" fillId="2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3" fillId="5" borderId="5" xfId="0" applyNumberFormat="1" applyFont="1" applyFill="1" applyBorder="1" applyAlignment="1">
      <alignment horizontal="left" vertical="center" wrapText="1"/>
    </xf>
    <xf numFmtId="0" fontId="3" fillId="5" borderId="6" xfId="0" applyNumberFormat="1" applyFont="1" applyFill="1" applyBorder="1" applyAlignment="1">
      <alignment horizontal="left" vertical="center" wrapText="1"/>
    </xf>
    <xf numFmtId="0" fontId="3" fillId="5" borderId="7" xfId="0" applyNumberFormat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5" borderId="6" xfId="0" applyNumberFormat="1" applyFont="1" applyFill="1" applyBorder="1" applyAlignment="1">
      <alignment horizontal="left" vertical="center" wrapText="1"/>
    </xf>
    <xf numFmtId="0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NumberFormat="1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NumberFormat="1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6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15" fillId="2" borderId="3" xfId="2" applyFont="1" applyFill="1" applyBorder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7" fillId="4" borderId="1" xfId="0" applyNumberFormat="1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center" wrapText="1"/>
    </xf>
    <xf numFmtId="0" fontId="7" fillId="4" borderId="5" xfId="0" applyNumberFormat="1" applyFont="1" applyFill="1" applyBorder="1" applyAlignment="1">
      <alignment horizontal="left" vertical="center" wrapText="1"/>
    </xf>
    <xf numFmtId="0" fontId="7" fillId="4" borderId="6" xfId="0" applyNumberFormat="1" applyFont="1" applyFill="1" applyBorder="1" applyAlignment="1">
      <alignment horizontal="left" vertical="center" wrapText="1"/>
    </xf>
    <xf numFmtId="0" fontId="7" fillId="4" borderId="7" xfId="0" applyNumberFormat="1" applyFont="1" applyFill="1" applyBorder="1" applyAlignment="1">
      <alignment horizontal="left" vertical="center" wrapText="1"/>
    </xf>
    <xf numFmtId="0" fontId="17" fillId="4" borderId="6" xfId="0" applyNumberFormat="1" applyFont="1" applyFill="1" applyBorder="1" applyAlignment="1">
      <alignment horizontal="left" vertical="center" wrapText="1"/>
    </xf>
    <xf numFmtId="0" fontId="17" fillId="4" borderId="7" xfId="0" applyNumberFormat="1" applyFont="1" applyFill="1" applyBorder="1" applyAlignment="1">
      <alignment horizontal="left" vertical="center" wrapText="1"/>
    </xf>
    <xf numFmtId="0" fontId="17" fillId="4" borderId="5" xfId="0" applyNumberFormat="1" applyFont="1" applyFill="1" applyBorder="1" applyAlignment="1">
      <alignment horizontal="left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left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6" fillId="4" borderId="9" xfId="1" applyFont="1" applyFill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6" fillId="4" borderId="1" xfId="1" applyFont="1" applyFill="1" applyBorder="1" applyAlignment="1">
      <alignment horizontal="center" vertical="center" wrapText="1"/>
    </xf>
  </cellXfs>
  <cellStyles count="3">
    <cellStyle name="常规" xfId="0" builtinId="0"/>
    <cellStyle name="常规 2 2" xfId="1"/>
    <cellStyle name="常规 3" xfId="2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4"/>
  <sheetViews>
    <sheetView zoomScaleNormal="100" workbookViewId="0">
      <pane ySplit="2" topLeftCell="A208" activePane="bottomLeft" state="frozen"/>
      <selection pane="bottomLeft" activeCell="F7" sqref="F7"/>
    </sheetView>
  </sheetViews>
  <sheetFormatPr defaultColWidth="9" defaultRowHeight="14.4" x14ac:dyDescent="0.25"/>
  <cols>
    <col min="1" max="1" width="3.6640625" style="19" customWidth="1"/>
    <col min="2" max="2" width="8.77734375" style="19" customWidth="1"/>
    <col min="3" max="3" width="14.5546875" style="19" customWidth="1"/>
    <col min="4" max="4" width="10.44140625" style="80" customWidth="1"/>
    <col min="5" max="5" width="32.44140625" style="81" customWidth="1"/>
    <col min="6" max="6" width="9" style="19" customWidth="1"/>
    <col min="7" max="7" width="13" style="82" customWidth="1"/>
    <col min="8" max="8" width="6.33203125" style="83" customWidth="1"/>
    <col min="9" max="9" width="11" style="83" customWidth="1"/>
    <col min="10" max="10" width="13" style="83" customWidth="1"/>
    <col min="11" max="11" width="14.44140625" style="83" customWidth="1"/>
    <col min="12" max="12" width="10.77734375" style="19" customWidth="1"/>
    <col min="13" max="13" width="12.33203125" style="19" customWidth="1"/>
    <col min="14" max="14" width="9" style="19"/>
    <col min="15" max="15" width="10.88671875" style="19" customWidth="1"/>
    <col min="16" max="16" width="13.77734375" style="19" customWidth="1"/>
    <col min="17" max="16384" width="9" style="19"/>
  </cols>
  <sheetData>
    <row r="1" spans="1:16" ht="16.2" x14ac:dyDescent="0.25">
      <c r="A1" s="183" t="s">
        <v>0</v>
      </c>
      <c r="B1" s="184" t="s">
        <v>1</v>
      </c>
      <c r="C1" s="184" t="s">
        <v>2</v>
      </c>
      <c r="D1" s="176" t="s">
        <v>3</v>
      </c>
      <c r="E1" s="167" t="s">
        <v>4</v>
      </c>
      <c r="F1" s="142" t="s">
        <v>5</v>
      </c>
      <c r="G1" s="144" t="s">
        <v>6</v>
      </c>
      <c r="H1" s="145"/>
      <c r="I1" s="144"/>
      <c r="J1" s="144"/>
      <c r="K1" s="144"/>
      <c r="L1" s="144"/>
      <c r="M1" s="144"/>
      <c r="N1" s="144"/>
      <c r="O1" s="18"/>
      <c r="P1" s="18"/>
    </row>
    <row r="2" spans="1:16" ht="32.4" x14ac:dyDescent="0.25">
      <c r="A2" s="183"/>
      <c r="B2" s="184"/>
      <c r="C2" s="184"/>
      <c r="D2" s="176"/>
      <c r="E2" s="167"/>
      <c r="F2" s="142"/>
      <c r="G2" s="117" t="s">
        <v>7</v>
      </c>
      <c r="H2" s="21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14</v>
      </c>
      <c r="O2" s="20" t="s">
        <v>15</v>
      </c>
      <c r="P2" s="20" t="s">
        <v>16</v>
      </c>
    </row>
    <row r="3" spans="1:16" s="23" customFormat="1" ht="16.2" x14ac:dyDescent="0.25">
      <c r="A3" s="24"/>
      <c r="B3" s="25"/>
      <c r="C3" s="186" t="s">
        <v>17</v>
      </c>
      <c r="D3" s="155" t="s">
        <v>17</v>
      </c>
      <c r="E3" s="168" t="s">
        <v>18</v>
      </c>
      <c r="F3" s="26"/>
      <c r="G3" s="274">
        <v>1</v>
      </c>
      <c r="H3" s="263">
        <v>1</v>
      </c>
      <c r="I3" s="131">
        <v>1</v>
      </c>
      <c r="J3" s="131">
        <v>1</v>
      </c>
      <c r="K3" s="131">
        <v>1</v>
      </c>
      <c r="L3" s="128">
        <v>4</v>
      </c>
      <c r="M3" s="136">
        <v>2</v>
      </c>
      <c r="N3" s="128">
        <v>1</v>
      </c>
      <c r="O3" s="22"/>
      <c r="P3" s="22"/>
    </row>
    <row r="4" spans="1:16" s="23" customFormat="1" ht="16.2" x14ac:dyDescent="0.25">
      <c r="A4" s="24"/>
      <c r="B4" s="25"/>
      <c r="C4" s="187"/>
      <c r="D4" s="156"/>
      <c r="E4" s="169"/>
      <c r="F4" s="26"/>
      <c r="G4" s="274"/>
      <c r="H4" s="264"/>
      <c r="I4" s="132"/>
      <c r="J4" s="132"/>
      <c r="K4" s="132"/>
      <c r="L4" s="129"/>
      <c r="M4" s="136"/>
      <c r="N4" s="129"/>
      <c r="O4" s="22"/>
      <c r="P4" s="22"/>
    </row>
    <row r="5" spans="1:16" s="23" customFormat="1" ht="16.2" x14ac:dyDescent="0.25">
      <c r="A5" s="24"/>
      <c r="B5" s="25"/>
      <c r="C5" s="187"/>
      <c r="D5" s="156"/>
      <c r="E5" s="168" t="s">
        <v>19</v>
      </c>
      <c r="F5" s="26"/>
      <c r="G5" s="274"/>
      <c r="H5" s="264"/>
      <c r="I5" s="132"/>
      <c r="J5" s="132"/>
      <c r="K5" s="132"/>
      <c r="L5" s="129"/>
      <c r="M5" s="136"/>
      <c r="N5" s="129"/>
      <c r="O5" s="22"/>
      <c r="P5" s="22"/>
    </row>
    <row r="6" spans="1:16" s="23" customFormat="1" ht="16.2" x14ac:dyDescent="0.25">
      <c r="A6" s="24"/>
      <c r="B6" s="25"/>
      <c r="C6" s="187"/>
      <c r="D6" s="156"/>
      <c r="E6" s="170"/>
      <c r="F6" s="26"/>
      <c r="G6" s="274"/>
      <c r="H6" s="264"/>
      <c r="I6" s="132"/>
      <c r="J6" s="132"/>
      <c r="K6" s="132"/>
      <c r="L6" s="129"/>
      <c r="M6" s="136"/>
      <c r="N6" s="129"/>
      <c r="O6" s="22"/>
      <c r="P6" s="22"/>
    </row>
    <row r="7" spans="1:16" s="23" customFormat="1" ht="16.2" x14ac:dyDescent="0.25">
      <c r="A7" s="24"/>
      <c r="B7" s="25"/>
      <c r="C7" s="187"/>
      <c r="D7" s="156"/>
      <c r="E7" s="169"/>
      <c r="F7" s="26"/>
      <c r="G7" s="274"/>
      <c r="H7" s="264"/>
      <c r="I7" s="132"/>
      <c r="J7" s="132"/>
      <c r="K7" s="132"/>
      <c r="L7" s="129"/>
      <c r="M7" s="136"/>
      <c r="N7" s="129"/>
      <c r="O7" s="22"/>
      <c r="P7" s="22"/>
    </row>
    <row r="8" spans="1:16" s="23" customFormat="1" ht="31.2" x14ac:dyDescent="0.25">
      <c r="A8" s="24"/>
      <c r="B8" s="25"/>
      <c r="C8" s="187"/>
      <c r="D8" s="157"/>
      <c r="E8" s="27" t="s">
        <v>20</v>
      </c>
      <c r="F8" s="26"/>
      <c r="G8" s="274"/>
      <c r="H8" s="264"/>
      <c r="I8" s="132"/>
      <c r="J8" s="132"/>
      <c r="K8" s="132"/>
      <c r="L8" s="130"/>
      <c r="M8" s="137"/>
      <c r="N8" s="130"/>
      <c r="O8" s="22"/>
      <c r="P8" s="22"/>
    </row>
    <row r="9" spans="1:16" s="23" customFormat="1" ht="16.2" x14ac:dyDescent="0.25">
      <c r="A9" s="24"/>
      <c r="B9" s="25"/>
      <c r="C9" s="188"/>
      <c r="D9" s="28" t="s">
        <v>21</v>
      </c>
      <c r="E9" s="29" t="s">
        <v>22</v>
      </c>
      <c r="F9" s="26"/>
      <c r="G9" s="274"/>
      <c r="H9" s="265"/>
      <c r="I9" s="133"/>
      <c r="J9" s="133"/>
      <c r="K9" s="133"/>
      <c r="L9" s="1">
        <v>2</v>
      </c>
      <c r="M9" s="1">
        <v>2</v>
      </c>
      <c r="N9" s="1">
        <v>2</v>
      </c>
      <c r="O9" s="22"/>
      <c r="P9" s="22"/>
    </row>
    <row r="10" spans="1:16" s="23" customFormat="1" ht="16.2" x14ac:dyDescent="0.25">
      <c r="A10" s="24"/>
      <c r="B10" s="25"/>
      <c r="C10" s="1" t="s">
        <v>23</v>
      </c>
      <c r="D10" s="30" t="s">
        <v>23</v>
      </c>
      <c r="E10" s="22" t="s">
        <v>24</v>
      </c>
      <c r="F10" s="31"/>
      <c r="G10" s="116">
        <v>1</v>
      </c>
      <c r="H10" s="10">
        <v>0.5</v>
      </c>
      <c r="I10" s="32">
        <v>1</v>
      </c>
      <c r="J10" s="1" t="s">
        <v>25</v>
      </c>
      <c r="K10" s="1" t="s">
        <v>25</v>
      </c>
      <c r="L10" s="1">
        <v>2</v>
      </c>
      <c r="M10" s="1">
        <v>1</v>
      </c>
      <c r="N10" s="1">
        <v>1</v>
      </c>
      <c r="O10" s="22"/>
      <c r="P10" s="22"/>
    </row>
    <row r="11" spans="1:16" s="23" customFormat="1" ht="15.6" x14ac:dyDescent="0.25">
      <c r="A11" s="33"/>
      <c r="B11" s="185" t="s">
        <v>26</v>
      </c>
      <c r="C11" s="128" t="s">
        <v>27</v>
      </c>
      <c r="D11" s="34" t="s">
        <v>28</v>
      </c>
      <c r="E11" s="35" t="s">
        <v>29</v>
      </c>
      <c r="F11" s="36"/>
      <c r="G11" s="116">
        <v>3</v>
      </c>
      <c r="H11" s="10">
        <v>1</v>
      </c>
      <c r="I11" s="143">
        <v>5</v>
      </c>
      <c r="J11" s="1" t="s">
        <v>25</v>
      </c>
      <c r="K11" s="1" t="s">
        <v>25</v>
      </c>
      <c r="L11" s="1">
        <v>3</v>
      </c>
      <c r="M11" s="1">
        <v>2</v>
      </c>
      <c r="N11" s="1">
        <v>2</v>
      </c>
      <c r="O11" s="22"/>
      <c r="P11" s="22"/>
    </row>
    <row r="12" spans="1:16" s="23" customFormat="1" ht="15.6" x14ac:dyDescent="0.25">
      <c r="A12" s="33"/>
      <c r="B12" s="185"/>
      <c r="C12" s="129"/>
      <c r="D12" s="30" t="s">
        <v>30</v>
      </c>
      <c r="E12" s="35" t="s">
        <v>31</v>
      </c>
      <c r="F12" s="36"/>
      <c r="G12" s="116">
        <v>1</v>
      </c>
      <c r="H12" s="10">
        <v>0.5</v>
      </c>
      <c r="I12" s="143"/>
      <c r="J12" s="1" t="s">
        <v>25</v>
      </c>
      <c r="K12" s="1" t="s">
        <v>25</v>
      </c>
      <c r="L12" s="1">
        <v>2</v>
      </c>
      <c r="M12" s="1">
        <v>1</v>
      </c>
      <c r="N12" s="1">
        <v>0.5</v>
      </c>
      <c r="O12" s="22"/>
      <c r="P12" s="22"/>
    </row>
    <row r="13" spans="1:16" s="23" customFormat="1" ht="15.6" x14ac:dyDescent="0.25">
      <c r="A13" s="33"/>
      <c r="B13" s="185"/>
      <c r="C13" s="129"/>
      <c r="D13" s="30" t="s">
        <v>32</v>
      </c>
      <c r="E13" s="35" t="s">
        <v>33</v>
      </c>
      <c r="F13" s="36"/>
      <c r="G13" s="116">
        <v>1</v>
      </c>
      <c r="H13" s="10">
        <v>0.5</v>
      </c>
      <c r="I13" s="143"/>
      <c r="J13" s="1" t="s">
        <v>25</v>
      </c>
      <c r="K13" s="1" t="s">
        <v>25</v>
      </c>
      <c r="L13" s="1">
        <v>1</v>
      </c>
      <c r="M13" s="1">
        <v>1</v>
      </c>
      <c r="N13" s="1">
        <v>1</v>
      </c>
      <c r="O13" s="22"/>
      <c r="P13" s="22"/>
    </row>
    <row r="14" spans="1:16" s="23" customFormat="1" ht="15.6" x14ac:dyDescent="0.25">
      <c r="A14" s="37"/>
      <c r="B14" s="185"/>
      <c r="C14" s="129"/>
      <c r="D14" s="34" t="s">
        <v>34</v>
      </c>
      <c r="E14" s="35" t="s">
        <v>35</v>
      </c>
      <c r="F14" s="31"/>
      <c r="G14" s="116">
        <v>1</v>
      </c>
      <c r="H14" s="10">
        <v>0.5</v>
      </c>
      <c r="I14" s="143"/>
      <c r="J14" s="1" t="s">
        <v>25</v>
      </c>
      <c r="K14" s="1" t="s">
        <v>25</v>
      </c>
      <c r="L14" s="1">
        <v>3</v>
      </c>
      <c r="M14" s="1">
        <v>2</v>
      </c>
      <c r="N14" s="1">
        <v>3</v>
      </c>
      <c r="O14" s="22"/>
      <c r="P14" s="22"/>
    </row>
    <row r="15" spans="1:16" s="23" customFormat="1" ht="15.6" x14ac:dyDescent="0.25">
      <c r="A15" s="37"/>
      <c r="B15" s="185"/>
      <c r="C15" s="129"/>
      <c r="D15" s="30" t="s">
        <v>36</v>
      </c>
      <c r="E15" s="22" t="s">
        <v>37</v>
      </c>
      <c r="F15" s="31"/>
      <c r="G15" s="116">
        <v>2</v>
      </c>
      <c r="H15" s="10">
        <v>0.5</v>
      </c>
      <c r="I15" s="143"/>
      <c r="J15" s="1" t="s">
        <v>25</v>
      </c>
      <c r="K15" s="1" t="s">
        <v>25</v>
      </c>
      <c r="L15" s="1">
        <v>1</v>
      </c>
      <c r="M15" s="1">
        <v>4</v>
      </c>
      <c r="N15" s="1" t="s">
        <v>25</v>
      </c>
      <c r="O15" s="22"/>
      <c r="P15" s="22"/>
    </row>
    <row r="16" spans="1:16" s="23" customFormat="1" ht="15.6" x14ac:dyDescent="0.25">
      <c r="A16" s="37"/>
      <c r="B16" s="185"/>
      <c r="C16" s="129"/>
      <c r="D16" s="30" t="s">
        <v>38</v>
      </c>
      <c r="E16" s="22" t="s">
        <v>39</v>
      </c>
      <c r="F16" s="31"/>
      <c r="G16" s="116">
        <v>1</v>
      </c>
      <c r="H16" s="10">
        <v>0.5</v>
      </c>
      <c r="I16" s="143"/>
      <c r="J16" s="1" t="s">
        <v>25</v>
      </c>
      <c r="K16" s="1" t="s">
        <v>25</v>
      </c>
      <c r="L16" s="1">
        <v>2</v>
      </c>
      <c r="M16" s="1">
        <v>4</v>
      </c>
      <c r="N16" s="1" t="s">
        <v>25</v>
      </c>
      <c r="O16" s="22"/>
      <c r="P16" s="22"/>
    </row>
    <row r="17" spans="1:16" s="23" customFormat="1" ht="15.6" x14ac:dyDescent="0.25">
      <c r="A17" s="37"/>
      <c r="B17" s="185"/>
      <c r="C17" s="129"/>
      <c r="D17" s="30" t="s">
        <v>40</v>
      </c>
      <c r="E17" s="22" t="s">
        <v>41</v>
      </c>
      <c r="F17" s="31"/>
      <c r="G17" s="116">
        <v>1</v>
      </c>
      <c r="H17" s="10">
        <v>0.5</v>
      </c>
      <c r="I17" s="143"/>
      <c r="J17" s="1" t="s">
        <v>25</v>
      </c>
      <c r="K17" s="1" t="s">
        <v>25</v>
      </c>
      <c r="L17" s="1">
        <v>3</v>
      </c>
      <c r="M17" s="1">
        <v>2</v>
      </c>
      <c r="N17" s="1" t="s">
        <v>25</v>
      </c>
      <c r="O17" s="22"/>
      <c r="P17" s="22"/>
    </row>
    <row r="18" spans="1:16" s="23" customFormat="1" ht="15.6" x14ac:dyDescent="0.25">
      <c r="A18" s="37"/>
      <c r="B18" s="185"/>
      <c r="C18" s="130"/>
      <c r="D18" s="30" t="s">
        <v>42</v>
      </c>
      <c r="E18" s="22" t="s">
        <v>43</v>
      </c>
      <c r="F18" s="31"/>
      <c r="G18" s="116">
        <v>1</v>
      </c>
      <c r="H18" s="10">
        <v>0.5</v>
      </c>
      <c r="I18" s="143"/>
      <c r="J18" s="1">
        <v>2</v>
      </c>
      <c r="K18" s="1">
        <v>2</v>
      </c>
      <c r="L18" s="1">
        <v>2</v>
      </c>
      <c r="M18" s="1">
        <v>1</v>
      </c>
      <c r="N18" s="1" t="s">
        <v>25</v>
      </c>
      <c r="O18" s="22"/>
      <c r="P18" s="22"/>
    </row>
    <row r="19" spans="1:16" s="23" customFormat="1" ht="15.6" x14ac:dyDescent="0.25">
      <c r="A19" s="37"/>
      <c r="B19" s="185"/>
      <c r="C19" s="143" t="s">
        <v>44</v>
      </c>
      <c r="D19" s="30" t="s">
        <v>34</v>
      </c>
      <c r="E19" s="22" t="s">
        <v>45</v>
      </c>
      <c r="F19" s="31"/>
      <c r="G19" s="116">
        <v>2</v>
      </c>
      <c r="H19" s="10">
        <v>1</v>
      </c>
      <c r="I19" s="32">
        <v>1</v>
      </c>
      <c r="J19" s="1" t="s">
        <v>25</v>
      </c>
      <c r="K19" s="1" t="s">
        <v>25</v>
      </c>
      <c r="L19" s="1">
        <v>4</v>
      </c>
      <c r="M19" s="1">
        <v>1</v>
      </c>
      <c r="N19" s="1">
        <v>1</v>
      </c>
      <c r="O19" s="22"/>
      <c r="P19" s="22"/>
    </row>
    <row r="20" spans="1:16" s="23" customFormat="1" ht="15.6" x14ac:dyDescent="0.25">
      <c r="A20" s="37"/>
      <c r="B20" s="185"/>
      <c r="C20" s="143"/>
      <c r="D20" s="158" t="s">
        <v>34</v>
      </c>
      <c r="E20" s="38" t="s">
        <v>46</v>
      </c>
      <c r="F20" s="252" t="s">
        <v>47</v>
      </c>
      <c r="G20" s="143">
        <v>1</v>
      </c>
      <c r="H20" s="266">
        <v>1</v>
      </c>
      <c r="I20" s="128">
        <v>1</v>
      </c>
      <c r="J20" s="128" t="s">
        <v>245</v>
      </c>
      <c r="K20" s="128" t="s">
        <v>245</v>
      </c>
      <c r="L20" s="128" t="s">
        <v>25</v>
      </c>
      <c r="M20" s="128">
        <v>0.5</v>
      </c>
      <c r="N20" s="128">
        <v>1</v>
      </c>
      <c r="O20" s="22"/>
      <c r="P20" s="22"/>
    </row>
    <row r="21" spans="1:16" s="23" customFormat="1" ht="15.6" x14ac:dyDescent="0.25">
      <c r="A21" s="37"/>
      <c r="B21" s="185"/>
      <c r="C21" s="143"/>
      <c r="D21" s="159"/>
      <c r="E21" s="39" t="s">
        <v>48</v>
      </c>
      <c r="F21" s="253"/>
      <c r="G21" s="143"/>
      <c r="H21" s="267"/>
      <c r="I21" s="129"/>
      <c r="J21" s="129"/>
      <c r="K21" s="129"/>
      <c r="L21" s="129"/>
      <c r="M21" s="129"/>
      <c r="N21" s="129"/>
      <c r="O21" s="22"/>
      <c r="P21" s="22"/>
    </row>
    <row r="22" spans="1:16" s="23" customFormat="1" ht="15.6" x14ac:dyDescent="0.25">
      <c r="A22" s="37"/>
      <c r="B22" s="185"/>
      <c r="C22" s="143"/>
      <c r="D22" s="159"/>
      <c r="E22" s="38" t="s">
        <v>49</v>
      </c>
      <c r="F22" s="253"/>
      <c r="G22" s="143"/>
      <c r="H22" s="267"/>
      <c r="I22" s="129"/>
      <c r="J22" s="129"/>
      <c r="K22" s="129"/>
      <c r="L22" s="130"/>
      <c r="M22" s="130"/>
      <c r="N22" s="129"/>
      <c r="O22" s="22"/>
      <c r="P22" s="22"/>
    </row>
    <row r="23" spans="1:16" s="23" customFormat="1" ht="15.6" x14ac:dyDescent="0.25">
      <c r="A23" s="37"/>
      <c r="B23" s="185"/>
      <c r="C23" s="143"/>
      <c r="D23" s="159"/>
      <c r="E23" s="22" t="s">
        <v>50</v>
      </c>
      <c r="F23" s="253"/>
      <c r="G23" s="143"/>
      <c r="H23" s="267"/>
      <c r="I23" s="129"/>
      <c r="J23" s="129"/>
      <c r="K23" s="129"/>
      <c r="L23" s="1" t="s">
        <v>25</v>
      </c>
      <c r="M23" s="1">
        <v>2</v>
      </c>
      <c r="N23" s="129"/>
      <c r="O23" s="22"/>
      <c r="P23" s="22"/>
    </row>
    <row r="24" spans="1:16" s="23" customFormat="1" ht="15.6" x14ac:dyDescent="0.25">
      <c r="A24" s="37"/>
      <c r="B24" s="185"/>
      <c r="C24" s="143"/>
      <c r="D24" s="159"/>
      <c r="E24" s="38" t="s">
        <v>51</v>
      </c>
      <c r="F24" s="253"/>
      <c r="G24" s="143"/>
      <c r="H24" s="267"/>
      <c r="I24" s="129"/>
      <c r="J24" s="129"/>
      <c r="K24" s="129"/>
      <c r="L24" s="1" t="s">
        <v>25</v>
      </c>
      <c r="M24" s="1">
        <v>0.5</v>
      </c>
      <c r="N24" s="129"/>
      <c r="O24" s="22"/>
      <c r="P24" s="22"/>
    </row>
    <row r="25" spans="1:16" s="23" customFormat="1" ht="15.6" x14ac:dyDescent="0.25">
      <c r="A25" s="37"/>
      <c r="B25" s="185"/>
      <c r="C25" s="143"/>
      <c r="D25" s="159"/>
      <c r="E25" s="38" t="s">
        <v>52</v>
      </c>
      <c r="F25" s="254"/>
      <c r="G25" s="143"/>
      <c r="H25" s="268"/>
      <c r="I25" s="130"/>
      <c r="J25" s="130"/>
      <c r="K25" s="130"/>
      <c r="L25" s="1">
        <v>1</v>
      </c>
      <c r="M25" s="1">
        <v>2</v>
      </c>
      <c r="N25" s="130"/>
      <c r="O25" s="22"/>
      <c r="P25" s="22"/>
    </row>
    <row r="26" spans="1:16" s="23" customFormat="1" ht="15.6" x14ac:dyDescent="0.25">
      <c r="A26" s="37"/>
      <c r="B26" s="185"/>
      <c r="C26" s="143"/>
      <c r="D26" s="30" t="s">
        <v>53</v>
      </c>
      <c r="E26" s="22" t="s">
        <v>54</v>
      </c>
      <c r="F26" s="31"/>
      <c r="G26" s="22"/>
      <c r="H26" s="269"/>
      <c r="I26" s="40"/>
      <c r="J26" s="1" t="s">
        <v>25</v>
      </c>
      <c r="K26" s="1" t="s">
        <v>25</v>
      </c>
      <c r="L26" s="1">
        <v>2</v>
      </c>
      <c r="M26" s="1">
        <v>1</v>
      </c>
      <c r="N26" s="1" t="s">
        <v>25</v>
      </c>
      <c r="O26" s="22"/>
      <c r="P26" s="22"/>
    </row>
    <row r="27" spans="1:16" s="23" customFormat="1" ht="15.6" x14ac:dyDescent="0.25">
      <c r="A27" s="37"/>
      <c r="B27" s="185"/>
      <c r="C27" s="143" t="s">
        <v>36</v>
      </c>
      <c r="D27" s="30" t="s">
        <v>55</v>
      </c>
      <c r="E27" s="22" t="s">
        <v>56</v>
      </c>
      <c r="F27" s="31"/>
      <c r="G27" s="143">
        <v>2</v>
      </c>
      <c r="H27" s="270">
        <v>1</v>
      </c>
      <c r="I27" s="148">
        <v>1</v>
      </c>
      <c r="J27" s="1" t="s">
        <v>25</v>
      </c>
      <c r="K27" s="1" t="s">
        <v>25</v>
      </c>
      <c r="L27" s="1">
        <v>2</v>
      </c>
      <c r="M27" s="1">
        <v>1</v>
      </c>
      <c r="N27" s="1">
        <v>1</v>
      </c>
      <c r="O27" s="22"/>
      <c r="P27" s="22"/>
    </row>
    <row r="28" spans="1:16" s="23" customFormat="1" ht="15.6" x14ac:dyDescent="0.25">
      <c r="A28" s="37"/>
      <c r="B28" s="185"/>
      <c r="C28" s="143"/>
      <c r="D28" s="30" t="s">
        <v>57</v>
      </c>
      <c r="E28" s="22" t="s">
        <v>58</v>
      </c>
      <c r="F28" s="31"/>
      <c r="G28" s="143"/>
      <c r="H28" s="270"/>
      <c r="I28" s="148"/>
      <c r="J28" s="1" t="s">
        <v>25</v>
      </c>
      <c r="K28" s="1" t="s">
        <v>25</v>
      </c>
      <c r="L28" s="1">
        <v>3</v>
      </c>
      <c r="M28" s="1">
        <v>1</v>
      </c>
      <c r="N28" s="1" t="s">
        <v>25</v>
      </c>
      <c r="O28" s="22"/>
      <c r="P28" s="22"/>
    </row>
    <row r="29" spans="1:16" s="23" customFormat="1" ht="31.2" x14ac:dyDescent="0.25">
      <c r="A29" s="37"/>
      <c r="B29" s="185"/>
      <c r="C29" s="128" t="s">
        <v>59</v>
      </c>
      <c r="D29" s="34" t="s">
        <v>60</v>
      </c>
      <c r="E29" s="35" t="s">
        <v>61</v>
      </c>
      <c r="F29" s="31"/>
      <c r="G29" s="143">
        <v>2</v>
      </c>
      <c r="H29" s="149">
        <v>2</v>
      </c>
      <c r="I29" s="152">
        <v>1</v>
      </c>
      <c r="J29" s="1" t="s">
        <v>25</v>
      </c>
      <c r="K29" s="1" t="s">
        <v>25</v>
      </c>
      <c r="L29" s="1">
        <v>4</v>
      </c>
      <c r="M29" s="1">
        <v>2</v>
      </c>
      <c r="N29" s="1">
        <v>3</v>
      </c>
      <c r="O29" s="22"/>
      <c r="P29" s="22"/>
    </row>
    <row r="30" spans="1:16" s="23" customFormat="1" ht="31.2" x14ac:dyDescent="0.25">
      <c r="A30" s="37"/>
      <c r="B30" s="185"/>
      <c r="C30" s="129"/>
      <c r="D30" s="34" t="s">
        <v>62</v>
      </c>
      <c r="E30" s="35" t="s">
        <v>273</v>
      </c>
      <c r="F30" s="31"/>
      <c r="G30" s="143"/>
      <c r="H30" s="150"/>
      <c r="I30" s="153"/>
      <c r="J30" s="1" t="s">
        <v>25</v>
      </c>
      <c r="K30" s="1" t="s">
        <v>25</v>
      </c>
      <c r="L30" s="1">
        <v>3</v>
      </c>
      <c r="M30" s="1">
        <v>2</v>
      </c>
      <c r="N30" s="1" t="s">
        <v>25</v>
      </c>
      <c r="O30" s="22"/>
      <c r="P30" s="22"/>
    </row>
    <row r="31" spans="1:16" s="23" customFormat="1" ht="31.2" x14ac:dyDescent="0.25">
      <c r="A31" s="37"/>
      <c r="B31" s="185"/>
      <c r="C31" s="129"/>
      <c r="D31" s="34" t="s">
        <v>63</v>
      </c>
      <c r="E31" s="35" t="s">
        <v>274</v>
      </c>
      <c r="F31" s="31"/>
      <c r="G31" s="143"/>
      <c r="H31" s="151"/>
      <c r="I31" s="154"/>
      <c r="J31" s="1" t="s">
        <v>25</v>
      </c>
      <c r="K31" s="1" t="s">
        <v>25</v>
      </c>
      <c r="L31" s="1">
        <v>2</v>
      </c>
      <c r="M31" s="1">
        <v>2</v>
      </c>
      <c r="N31" s="1">
        <v>2</v>
      </c>
      <c r="O31" s="22"/>
      <c r="P31" s="22"/>
    </row>
    <row r="32" spans="1:16" s="23" customFormat="1" ht="15.6" x14ac:dyDescent="0.25">
      <c r="A32" s="37"/>
      <c r="B32" s="185"/>
      <c r="C32" s="129"/>
      <c r="D32" s="160" t="s">
        <v>64</v>
      </c>
      <c r="E32" s="35" t="s">
        <v>65</v>
      </c>
      <c r="F32" s="31"/>
      <c r="G32" s="116" t="s">
        <v>25</v>
      </c>
      <c r="H32" s="271" t="s">
        <v>25</v>
      </c>
      <c r="I32" s="1" t="s">
        <v>25</v>
      </c>
      <c r="J32" s="1" t="s">
        <v>25</v>
      </c>
      <c r="K32" s="1" t="s">
        <v>25</v>
      </c>
      <c r="L32" s="1">
        <v>1</v>
      </c>
      <c r="M32" s="1">
        <v>1</v>
      </c>
      <c r="N32" s="1">
        <v>1</v>
      </c>
      <c r="O32" s="22"/>
      <c r="P32" s="22"/>
    </row>
    <row r="33" spans="1:16" s="23" customFormat="1" ht="15.6" x14ac:dyDescent="0.25">
      <c r="A33" s="37"/>
      <c r="B33" s="185"/>
      <c r="C33" s="129"/>
      <c r="D33" s="161"/>
      <c r="E33" s="35" t="s">
        <v>66</v>
      </c>
      <c r="F33" s="31"/>
      <c r="G33" s="116" t="s">
        <v>25</v>
      </c>
      <c r="H33" s="271" t="s">
        <v>25</v>
      </c>
      <c r="I33" s="1" t="s">
        <v>25</v>
      </c>
      <c r="J33" s="1" t="s">
        <v>25</v>
      </c>
      <c r="K33" s="1" t="s">
        <v>25</v>
      </c>
      <c r="L33" s="1">
        <v>1</v>
      </c>
      <c r="M33" s="1">
        <v>1</v>
      </c>
      <c r="N33" s="1">
        <v>1</v>
      </c>
      <c r="O33" s="22"/>
      <c r="P33" s="22"/>
    </row>
    <row r="34" spans="1:16" s="23" customFormat="1" ht="15.6" x14ac:dyDescent="0.25">
      <c r="A34" s="37"/>
      <c r="B34" s="185"/>
      <c r="C34" s="129"/>
      <c r="D34" s="161"/>
      <c r="E34" s="35" t="s">
        <v>67</v>
      </c>
      <c r="F34" s="31"/>
      <c r="G34" s="116" t="s">
        <v>25</v>
      </c>
      <c r="H34" s="271" t="s">
        <v>25</v>
      </c>
      <c r="I34" s="1" t="s">
        <v>25</v>
      </c>
      <c r="J34" s="1" t="s">
        <v>25</v>
      </c>
      <c r="K34" s="1" t="s">
        <v>25</v>
      </c>
      <c r="L34" s="1">
        <v>1</v>
      </c>
      <c r="M34" s="1">
        <v>1</v>
      </c>
      <c r="N34" s="1">
        <v>1</v>
      </c>
      <c r="O34" s="22"/>
      <c r="P34" s="22"/>
    </row>
    <row r="35" spans="1:16" s="23" customFormat="1" ht="15.6" x14ac:dyDescent="0.25">
      <c r="A35" s="37"/>
      <c r="B35" s="185"/>
      <c r="C35" s="130"/>
      <c r="D35" s="161"/>
      <c r="E35" s="35" t="s">
        <v>68</v>
      </c>
      <c r="F35" s="31"/>
      <c r="G35" s="116" t="s">
        <v>25</v>
      </c>
      <c r="H35" s="271" t="s">
        <v>25</v>
      </c>
      <c r="I35" s="1" t="s">
        <v>25</v>
      </c>
      <c r="J35" s="1" t="s">
        <v>25</v>
      </c>
      <c r="K35" s="1" t="s">
        <v>25</v>
      </c>
      <c r="L35" s="1">
        <v>1</v>
      </c>
      <c r="M35" s="1">
        <v>1</v>
      </c>
      <c r="N35" s="1">
        <v>1</v>
      </c>
      <c r="O35" s="22"/>
      <c r="P35" s="22"/>
    </row>
    <row r="36" spans="1:16" s="23" customFormat="1" ht="15.6" x14ac:dyDescent="0.25">
      <c r="A36" s="37"/>
      <c r="B36" s="185"/>
      <c r="C36" s="143" t="s">
        <v>69</v>
      </c>
      <c r="D36" s="146" t="s">
        <v>70</v>
      </c>
      <c r="E36" s="147"/>
      <c r="F36" s="31"/>
      <c r="G36" s="116" t="s">
        <v>25</v>
      </c>
      <c r="H36" s="27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22"/>
      <c r="P36" s="22"/>
    </row>
    <row r="37" spans="1:16" s="23" customFormat="1" ht="15.6" x14ac:dyDescent="0.25">
      <c r="A37" s="37"/>
      <c r="B37" s="185"/>
      <c r="C37" s="143"/>
      <c r="D37" s="146" t="s">
        <v>71</v>
      </c>
      <c r="E37" s="147"/>
      <c r="F37" s="31"/>
      <c r="G37" s="116" t="s">
        <v>25</v>
      </c>
      <c r="H37" s="27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>
        <v>1</v>
      </c>
      <c r="N37" s="1">
        <v>1</v>
      </c>
      <c r="O37" s="22"/>
      <c r="P37" s="22"/>
    </row>
    <row r="38" spans="1:16" s="23" customFormat="1" ht="15.6" x14ac:dyDescent="0.25">
      <c r="A38" s="37"/>
      <c r="B38" s="185"/>
      <c r="C38" s="128" t="s">
        <v>72</v>
      </c>
      <c r="D38" s="177" t="s">
        <v>73</v>
      </c>
      <c r="E38" s="171" t="s">
        <v>74</v>
      </c>
      <c r="F38" s="31"/>
      <c r="G38" s="116" t="s">
        <v>25</v>
      </c>
      <c r="H38" s="271" t="s">
        <v>25</v>
      </c>
      <c r="I38" s="1" t="s">
        <v>25</v>
      </c>
      <c r="J38" s="1" t="s">
        <v>25</v>
      </c>
      <c r="K38" s="1" t="s">
        <v>25</v>
      </c>
      <c r="L38" s="128">
        <v>2</v>
      </c>
      <c r="M38" s="136">
        <v>2</v>
      </c>
      <c r="N38" s="128">
        <v>1</v>
      </c>
      <c r="O38" s="22"/>
      <c r="P38" s="22"/>
    </row>
    <row r="39" spans="1:16" s="23" customFormat="1" ht="15.6" x14ac:dyDescent="0.25">
      <c r="A39" s="37"/>
      <c r="B39" s="185"/>
      <c r="C39" s="129"/>
      <c r="D39" s="177"/>
      <c r="E39" s="171"/>
      <c r="F39" s="31"/>
      <c r="G39" s="116" t="s">
        <v>25</v>
      </c>
      <c r="H39" s="271" t="s">
        <v>25</v>
      </c>
      <c r="I39" s="1" t="s">
        <v>25</v>
      </c>
      <c r="J39" s="1" t="s">
        <v>25</v>
      </c>
      <c r="K39" s="1" t="s">
        <v>25</v>
      </c>
      <c r="L39" s="129"/>
      <c r="M39" s="136"/>
      <c r="N39" s="129"/>
      <c r="O39" s="22"/>
      <c r="P39" s="22"/>
    </row>
    <row r="40" spans="1:16" s="23" customFormat="1" ht="15.6" x14ac:dyDescent="0.25">
      <c r="A40" s="37"/>
      <c r="B40" s="185"/>
      <c r="C40" s="129"/>
      <c r="D40" s="177"/>
      <c r="E40" s="171" t="s">
        <v>75</v>
      </c>
      <c r="F40" s="31"/>
      <c r="G40" s="116" t="s">
        <v>25</v>
      </c>
      <c r="H40" s="271" t="s">
        <v>25</v>
      </c>
      <c r="I40" s="1" t="s">
        <v>25</v>
      </c>
      <c r="J40" s="1" t="s">
        <v>25</v>
      </c>
      <c r="K40" s="1" t="s">
        <v>25</v>
      </c>
      <c r="L40" s="129"/>
      <c r="M40" s="136"/>
      <c r="N40" s="129"/>
      <c r="O40" s="22"/>
      <c r="P40" s="22"/>
    </row>
    <row r="41" spans="1:16" s="23" customFormat="1" ht="15.6" x14ac:dyDescent="0.25">
      <c r="A41" s="37"/>
      <c r="B41" s="185"/>
      <c r="C41" s="129"/>
      <c r="D41" s="177"/>
      <c r="E41" s="171"/>
      <c r="F41" s="31"/>
      <c r="G41" s="116" t="s">
        <v>25</v>
      </c>
      <c r="H41" s="271" t="s">
        <v>25</v>
      </c>
      <c r="I41" s="1" t="s">
        <v>25</v>
      </c>
      <c r="J41" s="1" t="s">
        <v>25</v>
      </c>
      <c r="K41" s="1" t="s">
        <v>25</v>
      </c>
      <c r="L41" s="129"/>
      <c r="M41" s="136"/>
      <c r="N41" s="129"/>
      <c r="O41" s="22"/>
      <c r="P41" s="22"/>
    </row>
    <row r="42" spans="1:16" s="23" customFormat="1" ht="15.6" x14ac:dyDescent="0.25">
      <c r="A42" s="37"/>
      <c r="B42" s="185"/>
      <c r="C42" s="129"/>
      <c r="D42" s="177"/>
      <c r="E42" s="35" t="s">
        <v>76</v>
      </c>
      <c r="F42" s="31"/>
      <c r="G42" s="116" t="s">
        <v>25</v>
      </c>
      <c r="H42" s="271" t="s">
        <v>25</v>
      </c>
      <c r="I42" s="1" t="s">
        <v>25</v>
      </c>
      <c r="J42" s="1" t="s">
        <v>25</v>
      </c>
      <c r="K42" s="1" t="s">
        <v>25</v>
      </c>
      <c r="L42" s="130"/>
      <c r="M42" s="137"/>
      <c r="N42" s="129"/>
      <c r="O42" s="22"/>
      <c r="P42" s="22"/>
    </row>
    <row r="43" spans="1:16" s="23" customFormat="1" ht="15.6" x14ac:dyDescent="0.25">
      <c r="A43" s="37"/>
      <c r="B43" s="185"/>
      <c r="C43" s="129"/>
      <c r="D43" s="160" t="s">
        <v>77</v>
      </c>
      <c r="E43" s="35" t="s">
        <v>78</v>
      </c>
      <c r="F43" s="31"/>
      <c r="G43" s="116" t="s">
        <v>25</v>
      </c>
      <c r="H43" s="271" t="s">
        <v>25</v>
      </c>
      <c r="I43" s="1" t="s">
        <v>25</v>
      </c>
      <c r="J43" s="1" t="s">
        <v>25</v>
      </c>
      <c r="K43" s="1" t="s">
        <v>25</v>
      </c>
      <c r="L43" s="128">
        <v>3</v>
      </c>
      <c r="M43" s="128">
        <v>2</v>
      </c>
      <c r="N43" s="129"/>
      <c r="O43" s="22"/>
      <c r="P43" s="22"/>
    </row>
    <row r="44" spans="1:16" s="23" customFormat="1" ht="15.6" x14ac:dyDescent="0.25">
      <c r="A44" s="37"/>
      <c r="B44" s="185"/>
      <c r="C44" s="129"/>
      <c r="D44" s="161"/>
      <c r="E44" s="160" t="s">
        <v>79</v>
      </c>
      <c r="F44" s="31"/>
      <c r="G44" s="116" t="s">
        <v>25</v>
      </c>
      <c r="H44" s="271" t="s">
        <v>25</v>
      </c>
      <c r="I44" s="1" t="s">
        <v>25</v>
      </c>
      <c r="J44" s="1" t="s">
        <v>25</v>
      </c>
      <c r="K44" s="1" t="s">
        <v>25</v>
      </c>
      <c r="L44" s="129"/>
      <c r="M44" s="129"/>
      <c r="N44" s="129"/>
      <c r="O44" s="22"/>
      <c r="P44" s="22"/>
    </row>
    <row r="45" spans="1:16" s="23" customFormat="1" ht="15.6" x14ac:dyDescent="0.25">
      <c r="A45" s="37"/>
      <c r="B45" s="185"/>
      <c r="C45" s="129"/>
      <c r="D45" s="161"/>
      <c r="E45" s="161"/>
      <c r="F45" s="31"/>
      <c r="G45" s="116" t="s">
        <v>25</v>
      </c>
      <c r="H45" s="271" t="s">
        <v>25</v>
      </c>
      <c r="I45" s="1" t="s">
        <v>25</v>
      </c>
      <c r="J45" s="1" t="s">
        <v>25</v>
      </c>
      <c r="K45" s="1" t="s">
        <v>25</v>
      </c>
      <c r="L45" s="129"/>
      <c r="M45" s="129"/>
      <c r="N45" s="129"/>
      <c r="O45" s="22"/>
      <c r="P45" s="22"/>
    </row>
    <row r="46" spans="1:16" s="23" customFormat="1" ht="15.6" x14ac:dyDescent="0.25">
      <c r="A46" s="37"/>
      <c r="B46" s="185"/>
      <c r="C46" s="129"/>
      <c r="D46" s="161"/>
      <c r="E46" s="161"/>
      <c r="F46" s="31"/>
      <c r="G46" s="116" t="s">
        <v>25</v>
      </c>
      <c r="H46" s="271" t="s">
        <v>25</v>
      </c>
      <c r="I46" s="1" t="s">
        <v>25</v>
      </c>
      <c r="J46" s="1" t="s">
        <v>25</v>
      </c>
      <c r="K46" s="1" t="s">
        <v>25</v>
      </c>
      <c r="L46" s="129"/>
      <c r="M46" s="129"/>
      <c r="N46" s="129"/>
      <c r="O46" s="22"/>
      <c r="P46" s="22"/>
    </row>
    <row r="47" spans="1:16" s="23" customFormat="1" ht="15.6" x14ac:dyDescent="0.25">
      <c r="A47" s="37"/>
      <c r="B47" s="185"/>
      <c r="C47" s="129"/>
      <c r="D47" s="161"/>
      <c r="E47" s="161"/>
      <c r="F47" s="31"/>
      <c r="G47" s="116" t="s">
        <v>25</v>
      </c>
      <c r="H47" s="271" t="s">
        <v>25</v>
      </c>
      <c r="I47" s="1" t="s">
        <v>25</v>
      </c>
      <c r="J47" s="1" t="s">
        <v>25</v>
      </c>
      <c r="K47" s="1" t="s">
        <v>25</v>
      </c>
      <c r="L47" s="130"/>
      <c r="M47" s="130"/>
      <c r="N47" s="130"/>
      <c r="O47" s="22"/>
      <c r="P47" s="22"/>
    </row>
    <row r="48" spans="1:16" s="23" customFormat="1" ht="15.6" x14ac:dyDescent="0.25">
      <c r="A48" s="37"/>
      <c r="B48" s="185"/>
      <c r="C48" s="129"/>
      <c r="D48" s="161"/>
      <c r="E48" s="161"/>
      <c r="F48" s="31"/>
      <c r="G48" s="116" t="s">
        <v>25</v>
      </c>
      <c r="H48" s="2" t="s">
        <v>25</v>
      </c>
      <c r="I48" s="14" t="s">
        <v>25</v>
      </c>
      <c r="J48" s="1" t="s">
        <v>25</v>
      </c>
      <c r="K48" s="1" t="s">
        <v>25</v>
      </c>
      <c r="L48" s="8">
        <v>2</v>
      </c>
      <c r="M48" s="9">
        <v>2</v>
      </c>
      <c r="N48" s="1">
        <v>4</v>
      </c>
      <c r="O48" s="22"/>
      <c r="P48" s="22"/>
    </row>
    <row r="49" spans="1:16" s="23" customFormat="1" ht="15.6" x14ac:dyDescent="0.25">
      <c r="A49" s="37"/>
      <c r="B49" s="185"/>
      <c r="C49" s="129"/>
      <c r="D49" s="161"/>
      <c r="E49" s="161"/>
      <c r="F49" s="31"/>
      <c r="G49" s="116" t="s">
        <v>245</v>
      </c>
      <c r="H49" s="271" t="s">
        <v>245</v>
      </c>
      <c r="I49" s="1" t="s">
        <v>245</v>
      </c>
      <c r="J49" s="1" t="s">
        <v>245</v>
      </c>
      <c r="K49" s="1" t="s">
        <v>245</v>
      </c>
      <c r="L49" s="162">
        <v>2</v>
      </c>
      <c r="M49" s="138">
        <v>3</v>
      </c>
      <c r="N49" s="128">
        <v>4</v>
      </c>
      <c r="O49" s="22"/>
      <c r="P49" s="22"/>
    </row>
    <row r="50" spans="1:16" s="23" customFormat="1" ht="15.6" x14ac:dyDescent="0.25">
      <c r="A50" s="37"/>
      <c r="B50" s="185"/>
      <c r="C50" s="129"/>
      <c r="D50" s="161"/>
      <c r="E50" s="161"/>
      <c r="F50" s="31"/>
      <c r="G50" s="116" t="s">
        <v>245</v>
      </c>
      <c r="H50" s="271" t="s">
        <v>245</v>
      </c>
      <c r="I50" s="1" t="s">
        <v>245</v>
      </c>
      <c r="J50" s="1" t="s">
        <v>245</v>
      </c>
      <c r="K50" s="1" t="s">
        <v>245</v>
      </c>
      <c r="L50" s="163"/>
      <c r="M50" s="139"/>
      <c r="N50" s="129"/>
      <c r="O50" s="22"/>
      <c r="P50" s="22"/>
    </row>
    <row r="51" spans="1:16" s="23" customFormat="1" ht="15.6" x14ac:dyDescent="0.25">
      <c r="A51" s="37"/>
      <c r="B51" s="185"/>
      <c r="C51" s="129"/>
      <c r="D51" s="161"/>
      <c r="E51" s="161"/>
      <c r="F51" s="31"/>
      <c r="G51" s="116" t="s">
        <v>245</v>
      </c>
      <c r="H51" s="271" t="s">
        <v>245</v>
      </c>
      <c r="I51" s="1" t="s">
        <v>245</v>
      </c>
      <c r="J51" s="1" t="s">
        <v>245</v>
      </c>
      <c r="K51" s="1" t="s">
        <v>245</v>
      </c>
      <c r="L51" s="163"/>
      <c r="M51" s="139"/>
      <c r="N51" s="129"/>
      <c r="O51" s="22"/>
      <c r="P51" s="22"/>
    </row>
    <row r="52" spans="1:16" s="23" customFormat="1" ht="15.6" x14ac:dyDescent="0.25">
      <c r="A52" s="37"/>
      <c r="B52" s="185"/>
      <c r="C52" s="129"/>
      <c r="D52" s="161"/>
      <c r="E52" s="161"/>
      <c r="F52" s="31"/>
      <c r="G52" s="116" t="s">
        <v>245</v>
      </c>
      <c r="H52" s="271" t="s">
        <v>245</v>
      </c>
      <c r="I52" s="1" t="s">
        <v>245</v>
      </c>
      <c r="J52" s="1" t="s">
        <v>245</v>
      </c>
      <c r="K52" s="1" t="s">
        <v>245</v>
      </c>
      <c r="L52" s="163"/>
      <c r="M52" s="139"/>
      <c r="N52" s="129"/>
      <c r="O52" s="22"/>
      <c r="P52" s="22"/>
    </row>
    <row r="53" spans="1:16" s="23" customFormat="1" ht="15.6" x14ac:dyDescent="0.25">
      <c r="A53" s="37"/>
      <c r="B53" s="185"/>
      <c r="C53" s="129"/>
      <c r="D53" s="161"/>
      <c r="E53" s="161"/>
      <c r="F53" s="31"/>
      <c r="G53" s="116" t="s">
        <v>245</v>
      </c>
      <c r="H53" s="271" t="s">
        <v>245</v>
      </c>
      <c r="I53" s="1" t="s">
        <v>245</v>
      </c>
      <c r="J53" s="1" t="s">
        <v>245</v>
      </c>
      <c r="K53" s="1" t="s">
        <v>245</v>
      </c>
      <c r="L53" s="163"/>
      <c r="M53" s="139"/>
      <c r="N53" s="129"/>
      <c r="O53" s="22"/>
      <c r="P53" s="22"/>
    </row>
    <row r="54" spans="1:16" s="23" customFormat="1" ht="15.6" x14ac:dyDescent="0.25">
      <c r="A54" s="37"/>
      <c r="B54" s="185"/>
      <c r="C54" s="129"/>
      <c r="D54" s="161"/>
      <c r="E54" s="161"/>
      <c r="F54" s="31"/>
      <c r="G54" s="116" t="s">
        <v>245</v>
      </c>
      <c r="H54" s="271" t="s">
        <v>245</v>
      </c>
      <c r="I54" s="1" t="s">
        <v>245</v>
      </c>
      <c r="J54" s="1" t="s">
        <v>245</v>
      </c>
      <c r="K54" s="1" t="s">
        <v>245</v>
      </c>
      <c r="L54" s="163"/>
      <c r="M54" s="139"/>
      <c r="N54" s="129"/>
      <c r="O54" s="22"/>
      <c r="P54" s="22"/>
    </row>
    <row r="55" spans="1:16" s="23" customFormat="1" ht="15.6" x14ac:dyDescent="0.25">
      <c r="A55" s="37"/>
      <c r="B55" s="185"/>
      <c r="C55" s="129"/>
      <c r="D55" s="161"/>
      <c r="E55" s="161"/>
      <c r="F55" s="31"/>
      <c r="G55" s="116" t="s">
        <v>245</v>
      </c>
      <c r="H55" s="271" t="s">
        <v>245</v>
      </c>
      <c r="I55" s="1" t="s">
        <v>245</v>
      </c>
      <c r="J55" s="1" t="s">
        <v>245</v>
      </c>
      <c r="K55" s="1" t="s">
        <v>245</v>
      </c>
      <c r="L55" s="163"/>
      <c r="M55" s="139"/>
      <c r="N55" s="129"/>
      <c r="O55" s="22"/>
      <c r="P55" s="22"/>
    </row>
    <row r="56" spans="1:16" s="23" customFormat="1" ht="15.6" x14ac:dyDescent="0.25">
      <c r="A56" s="37"/>
      <c r="B56" s="185"/>
      <c r="C56" s="129"/>
      <c r="D56" s="161"/>
      <c r="E56" s="161"/>
      <c r="F56" s="31"/>
      <c r="G56" s="116" t="s">
        <v>245</v>
      </c>
      <c r="H56" s="271" t="s">
        <v>245</v>
      </c>
      <c r="I56" s="1" t="s">
        <v>245</v>
      </c>
      <c r="J56" s="1" t="s">
        <v>245</v>
      </c>
      <c r="K56" s="1" t="s">
        <v>245</v>
      </c>
      <c r="L56" s="163"/>
      <c r="M56" s="139"/>
      <c r="N56" s="129"/>
      <c r="O56" s="22"/>
      <c r="P56" s="22"/>
    </row>
    <row r="57" spans="1:16" s="23" customFormat="1" ht="15.6" x14ac:dyDescent="0.25">
      <c r="A57" s="37"/>
      <c r="B57" s="185"/>
      <c r="C57" s="129"/>
      <c r="D57" s="161"/>
      <c r="E57" s="161"/>
      <c r="F57" s="31"/>
      <c r="G57" s="116" t="s">
        <v>245</v>
      </c>
      <c r="H57" s="271" t="s">
        <v>245</v>
      </c>
      <c r="I57" s="1" t="s">
        <v>245</v>
      </c>
      <c r="J57" s="1" t="s">
        <v>245</v>
      </c>
      <c r="K57" s="1" t="s">
        <v>245</v>
      </c>
      <c r="L57" s="163"/>
      <c r="M57" s="139"/>
      <c r="N57" s="129"/>
      <c r="O57" s="22"/>
      <c r="P57" s="22"/>
    </row>
    <row r="58" spans="1:16" s="23" customFormat="1" ht="15.6" x14ac:dyDescent="0.25">
      <c r="A58" s="37"/>
      <c r="B58" s="185"/>
      <c r="C58" s="129"/>
      <c r="D58" s="161"/>
      <c r="E58" s="161"/>
      <c r="F58" s="31"/>
      <c r="G58" s="116" t="s">
        <v>245</v>
      </c>
      <c r="H58" s="271" t="s">
        <v>245</v>
      </c>
      <c r="I58" s="1" t="s">
        <v>245</v>
      </c>
      <c r="J58" s="1" t="s">
        <v>245</v>
      </c>
      <c r="K58" s="1" t="s">
        <v>245</v>
      </c>
      <c r="L58" s="164"/>
      <c r="M58" s="140"/>
      <c r="N58" s="130"/>
      <c r="O58" s="22"/>
      <c r="P58" s="22"/>
    </row>
    <row r="59" spans="1:16" s="23" customFormat="1" ht="15.6" x14ac:dyDescent="0.25">
      <c r="A59" s="37"/>
      <c r="B59" s="185"/>
      <c r="C59" s="129"/>
      <c r="D59" s="165"/>
      <c r="E59" s="165"/>
      <c r="F59" s="31"/>
      <c r="G59" s="116">
        <v>1</v>
      </c>
      <c r="H59" s="10">
        <v>1</v>
      </c>
      <c r="I59" s="32">
        <v>1</v>
      </c>
      <c r="J59" s="1" t="s">
        <v>25</v>
      </c>
      <c r="K59" s="1" t="s">
        <v>25</v>
      </c>
      <c r="L59" s="8">
        <v>2</v>
      </c>
      <c r="M59" s="8">
        <v>2</v>
      </c>
      <c r="N59" s="1">
        <v>1</v>
      </c>
      <c r="O59" s="22"/>
      <c r="P59" s="22"/>
    </row>
    <row r="60" spans="1:16" s="23" customFormat="1" ht="15.6" x14ac:dyDescent="0.25">
      <c r="A60" s="37"/>
      <c r="B60" s="185"/>
      <c r="C60" s="129"/>
      <c r="D60" s="163" t="s">
        <v>82</v>
      </c>
      <c r="E60" s="41" t="s">
        <v>83</v>
      </c>
      <c r="F60" s="31"/>
      <c r="G60" s="116">
        <v>2</v>
      </c>
      <c r="H60" s="2" t="s">
        <v>25</v>
      </c>
      <c r="I60" s="32" t="s">
        <v>25</v>
      </c>
      <c r="J60" s="1">
        <v>3</v>
      </c>
      <c r="K60" s="32">
        <v>3</v>
      </c>
      <c r="L60" s="8">
        <v>3</v>
      </c>
      <c r="M60" s="9">
        <v>2</v>
      </c>
      <c r="N60" s="42">
        <v>2</v>
      </c>
      <c r="O60" s="22"/>
      <c r="P60" s="22"/>
    </row>
    <row r="61" spans="1:16" s="23" customFormat="1" ht="15.6" x14ac:dyDescent="0.25">
      <c r="A61" s="37"/>
      <c r="B61" s="185"/>
      <c r="C61" s="129"/>
      <c r="D61" s="163"/>
      <c r="E61" s="43" t="s">
        <v>84</v>
      </c>
      <c r="F61" s="31"/>
      <c r="G61" s="116" t="s">
        <v>25</v>
      </c>
      <c r="H61" s="2" t="s">
        <v>25</v>
      </c>
      <c r="I61" s="32" t="s">
        <v>25</v>
      </c>
      <c r="J61" s="1">
        <v>2</v>
      </c>
      <c r="K61" s="32">
        <v>2</v>
      </c>
      <c r="L61" s="8">
        <v>2</v>
      </c>
      <c r="M61" s="9">
        <v>2</v>
      </c>
      <c r="N61" s="42">
        <v>5</v>
      </c>
      <c r="O61" s="22"/>
      <c r="P61" s="22"/>
    </row>
    <row r="62" spans="1:16" s="23" customFormat="1" ht="15.6" x14ac:dyDescent="0.25">
      <c r="A62" s="37"/>
      <c r="B62" s="185"/>
      <c r="C62" s="130"/>
      <c r="D62" s="164"/>
      <c r="E62" s="43" t="s">
        <v>85</v>
      </c>
      <c r="F62" s="31"/>
      <c r="G62" s="116" t="s">
        <v>25</v>
      </c>
      <c r="H62" s="2" t="s">
        <v>25</v>
      </c>
      <c r="I62" s="32" t="s">
        <v>25</v>
      </c>
      <c r="J62" s="1">
        <v>2</v>
      </c>
      <c r="K62" s="32">
        <v>2</v>
      </c>
      <c r="L62" s="8">
        <v>4</v>
      </c>
      <c r="M62" s="9">
        <v>2</v>
      </c>
      <c r="N62" s="42">
        <v>4</v>
      </c>
      <c r="O62" s="22"/>
      <c r="P62" s="22"/>
    </row>
    <row r="63" spans="1:16" s="23" customFormat="1" ht="15.6" x14ac:dyDescent="0.25">
      <c r="A63" s="37"/>
      <c r="B63" s="128" t="s">
        <v>86</v>
      </c>
      <c r="C63" s="128" t="s">
        <v>87</v>
      </c>
      <c r="D63" s="30" t="s">
        <v>88</v>
      </c>
      <c r="E63" s="22" t="s">
        <v>89</v>
      </c>
      <c r="F63" s="44"/>
      <c r="G63" s="116">
        <v>3</v>
      </c>
      <c r="H63" s="118">
        <v>3</v>
      </c>
      <c r="I63" s="45" t="s">
        <v>25</v>
      </c>
      <c r="J63" s="1" t="s">
        <v>25</v>
      </c>
      <c r="K63" s="1" t="s">
        <v>25</v>
      </c>
      <c r="L63" s="1">
        <v>15</v>
      </c>
      <c r="M63" s="12">
        <v>15</v>
      </c>
      <c r="N63" s="1">
        <v>0.5</v>
      </c>
      <c r="O63" s="22"/>
      <c r="P63" s="22"/>
    </row>
    <row r="64" spans="1:16" s="23" customFormat="1" ht="15.6" x14ac:dyDescent="0.25">
      <c r="A64" s="37"/>
      <c r="B64" s="129"/>
      <c r="C64" s="130"/>
      <c r="D64" s="46" t="s">
        <v>90</v>
      </c>
      <c r="E64" s="41" t="s">
        <v>91</v>
      </c>
      <c r="F64" s="47"/>
      <c r="G64" s="116">
        <v>1</v>
      </c>
      <c r="H64" s="2" t="s">
        <v>25</v>
      </c>
      <c r="I64" s="1">
        <v>3</v>
      </c>
      <c r="J64" s="1">
        <v>0.5</v>
      </c>
      <c r="K64" s="1">
        <v>0.5</v>
      </c>
      <c r="L64" s="8">
        <v>3</v>
      </c>
      <c r="M64" s="9">
        <v>1</v>
      </c>
      <c r="N64" s="42" t="s">
        <v>25</v>
      </c>
      <c r="O64" s="22"/>
      <c r="P64" s="22"/>
    </row>
    <row r="65" spans="1:16" s="23" customFormat="1" ht="15.6" x14ac:dyDescent="0.25">
      <c r="A65" s="37"/>
      <c r="B65" s="129"/>
      <c r="C65" s="125" t="s">
        <v>262</v>
      </c>
      <c r="D65" s="178"/>
      <c r="E65" s="48" t="s">
        <v>93</v>
      </c>
      <c r="F65" s="255" t="s">
        <v>92</v>
      </c>
      <c r="G65" s="116" t="s">
        <v>25</v>
      </c>
      <c r="H65" s="2" t="s">
        <v>25</v>
      </c>
      <c r="I65" s="14" t="s">
        <v>25</v>
      </c>
      <c r="J65" s="1" t="s">
        <v>25</v>
      </c>
      <c r="K65" s="1" t="s">
        <v>25</v>
      </c>
      <c r="L65" s="3">
        <v>2</v>
      </c>
      <c r="M65" s="4">
        <v>2</v>
      </c>
      <c r="N65" s="42">
        <v>3</v>
      </c>
      <c r="O65" s="22"/>
      <c r="P65" s="22"/>
    </row>
    <row r="66" spans="1:16" s="23" customFormat="1" ht="15.6" x14ac:dyDescent="0.25">
      <c r="A66" s="37"/>
      <c r="B66" s="129"/>
      <c r="C66" s="125"/>
      <c r="D66" s="178"/>
      <c r="E66" s="48" t="s">
        <v>94</v>
      </c>
      <c r="F66" s="256"/>
      <c r="G66" s="116" t="s">
        <v>25</v>
      </c>
      <c r="H66" s="2" t="s">
        <v>25</v>
      </c>
      <c r="I66" s="14" t="s">
        <v>25</v>
      </c>
      <c r="J66" s="1" t="s">
        <v>25</v>
      </c>
      <c r="K66" s="1" t="s">
        <v>25</v>
      </c>
      <c r="L66" s="3">
        <v>4</v>
      </c>
      <c r="M66" s="4">
        <v>2</v>
      </c>
      <c r="N66" s="42">
        <v>3</v>
      </c>
      <c r="O66" s="22"/>
      <c r="P66" s="22"/>
    </row>
    <row r="67" spans="1:16" s="23" customFormat="1" ht="15.6" x14ac:dyDescent="0.25">
      <c r="A67" s="37"/>
      <c r="B67" s="129"/>
      <c r="C67" s="125"/>
      <c r="D67" s="178"/>
      <c r="E67" s="49" t="s">
        <v>95</v>
      </c>
      <c r="F67" s="256"/>
      <c r="G67" s="116" t="s">
        <v>25</v>
      </c>
      <c r="H67" s="2" t="s">
        <v>25</v>
      </c>
      <c r="I67" s="14" t="s">
        <v>25</v>
      </c>
      <c r="J67" s="1" t="s">
        <v>25</v>
      </c>
      <c r="K67" s="1" t="s">
        <v>25</v>
      </c>
      <c r="L67" s="3">
        <v>2</v>
      </c>
      <c r="M67" s="4">
        <v>1</v>
      </c>
      <c r="N67" s="42">
        <v>3</v>
      </c>
      <c r="O67" s="22"/>
      <c r="P67" s="22"/>
    </row>
    <row r="68" spans="1:16" s="23" customFormat="1" ht="15.6" x14ac:dyDescent="0.25">
      <c r="A68" s="37"/>
      <c r="B68" s="129"/>
      <c r="C68" s="125"/>
      <c r="D68" s="178"/>
      <c r="E68" s="48" t="s">
        <v>96</v>
      </c>
      <c r="F68" s="256"/>
      <c r="G68" s="116" t="s">
        <v>25</v>
      </c>
      <c r="H68" s="2" t="s">
        <v>25</v>
      </c>
      <c r="I68" s="14" t="s">
        <v>25</v>
      </c>
      <c r="J68" s="1" t="s">
        <v>25</v>
      </c>
      <c r="K68" s="1" t="s">
        <v>25</v>
      </c>
      <c r="L68" s="3">
        <v>2</v>
      </c>
      <c r="M68" s="4">
        <v>2</v>
      </c>
      <c r="N68" s="42">
        <v>2</v>
      </c>
      <c r="O68" s="22"/>
      <c r="P68" s="22"/>
    </row>
    <row r="69" spans="1:16" s="23" customFormat="1" ht="15.6" x14ac:dyDescent="0.25">
      <c r="A69" s="37"/>
      <c r="B69" s="129"/>
      <c r="C69" s="125"/>
      <c r="D69" s="178"/>
      <c r="E69" s="48" t="s">
        <v>97</v>
      </c>
      <c r="F69" s="256"/>
      <c r="G69" s="116" t="s">
        <v>25</v>
      </c>
      <c r="H69" s="2" t="s">
        <v>25</v>
      </c>
      <c r="I69" s="14" t="s">
        <v>25</v>
      </c>
      <c r="J69" s="1" t="s">
        <v>25</v>
      </c>
      <c r="K69" s="1" t="s">
        <v>25</v>
      </c>
      <c r="L69" s="3">
        <v>4</v>
      </c>
      <c r="M69" s="4">
        <v>2</v>
      </c>
      <c r="N69" s="42">
        <v>4</v>
      </c>
      <c r="O69" s="22"/>
      <c r="P69" s="22"/>
    </row>
    <row r="70" spans="1:16" s="23" customFormat="1" ht="15.6" x14ac:dyDescent="0.25">
      <c r="A70" s="37"/>
      <c r="B70" s="129"/>
      <c r="C70" s="125"/>
      <c r="D70" s="178"/>
      <c r="E70" s="50" t="s">
        <v>98</v>
      </c>
      <c r="F70" s="256"/>
      <c r="G70" s="116" t="s">
        <v>25</v>
      </c>
      <c r="H70" s="2" t="s">
        <v>25</v>
      </c>
      <c r="I70" s="14" t="s">
        <v>25</v>
      </c>
      <c r="J70" s="1" t="s">
        <v>25</v>
      </c>
      <c r="K70" s="1" t="s">
        <v>25</v>
      </c>
      <c r="L70" s="3">
        <v>2</v>
      </c>
      <c r="M70" s="4">
        <v>1</v>
      </c>
      <c r="N70" s="42">
        <v>4</v>
      </c>
      <c r="O70" s="22"/>
      <c r="P70" s="22"/>
    </row>
    <row r="71" spans="1:16" s="23" customFormat="1" ht="15.6" x14ac:dyDescent="0.25">
      <c r="A71" s="37"/>
      <c r="B71" s="129"/>
      <c r="C71" s="125"/>
      <c r="D71" s="178"/>
      <c r="E71" s="50" t="s">
        <v>99</v>
      </c>
      <c r="F71" s="256"/>
      <c r="G71" s="116" t="s">
        <v>25</v>
      </c>
      <c r="H71" s="2" t="s">
        <v>25</v>
      </c>
      <c r="I71" s="14" t="s">
        <v>25</v>
      </c>
      <c r="J71" s="1" t="s">
        <v>25</v>
      </c>
      <c r="K71" s="1" t="s">
        <v>25</v>
      </c>
      <c r="L71" s="3">
        <v>3</v>
      </c>
      <c r="M71" s="4">
        <v>1</v>
      </c>
      <c r="N71" s="42">
        <v>4</v>
      </c>
      <c r="O71" s="22"/>
      <c r="P71" s="22"/>
    </row>
    <row r="72" spans="1:16" s="23" customFormat="1" ht="15.6" x14ac:dyDescent="0.25">
      <c r="A72" s="37"/>
      <c r="B72" s="129"/>
      <c r="C72" s="125"/>
      <c r="D72" s="178"/>
      <c r="E72" s="50" t="s">
        <v>100</v>
      </c>
      <c r="F72" s="256"/>
      <c r="G72" s="116" t="s">
        <v>25</v>
      </c>
      <c r="H72" s="2" t="s">
        <v>25</v>
      </c>
      <c r="I72" s="14" t="s">
        <v>25</v>
      </c>
      <c r="J72" s="1" t="s">
        <v>25</v>
      </c>
      <c r="K72" s="1" t="s">
        <v>25</v>
      </c>
      <c r="L72" s="3">
        <v>3</v>
      </c>
      <c r="M72" s="4">
        <v>1</v>
      </c>
      <c r="N72" s="42">
        <v>4</v>
      </c>
      <c r="O72" s="22"/>
      <c r="P72" s="22"/>
    </row>
    <row r="73" spans="1:16" s="55" customFormat="1" ht="15.6" x14ac:dyDescent="0.25">
      <c r="A73" s="51"/>
      <c r="B73" s="129"/>
      <c r="C73" s="125"/>
      <c r="D73" s="179"/>
      <c r="E73" s="52" t="s">
        <v>101</v>
      </c>
      <c r="F73" s="256"/>
      <c r="G73" s="5" t="s">
        <v>25</v>
      </c>
      <c r="H73" s="6" t="s">
        <v>25</v>
      </c>
      <c r="I73" s="7" t="s">
        <v>25</v>
      </c>
      <c r="J73" s="5" t="s">
        <v>25</v>
      </c>
      <c r="K73" s="5" t="s">
        <v>25</v>
      </c>
      <c r="L73" s="4">
        <v>3</v>
      </c>
      <c r="M73" s="4">
        <v>2</v>
      </c>
      <c r="N73" s="53">
        <v>3</v>
      </c>
      <c r="O73" s="54"/>
      <c r="P73" s="54"/>
    </row>
    <row r="74" spans="1:16" s="23" customFormat="1" ht="15.6" x14ac:dyDescent="0.25">
      <c r="A74" s="37"/>
      <c r="B74" s="129"/>
      <c r="C74" s="125"/>
      <c r="D74" s="180" t="s">
        <v>102</v>
      </c>
      <c r="E74" s="48" t="s">
        <v>103</v>
      </c>
      <c r="F74" s="256"/>
      <c r="G74" s="116">
        <v>1</v>
      </c>
      <c r="H74" s="2" t="s">
        <v>25</v>
      </c>
      <c r="I74" s="14" t="s">
        <v>25</v>
      </c>
      <c r="J74" s="1" t="s">
        <v>25</v>
      </c>
      <c r="K74" s="1" t="s">
        <v>25</v>
      </c>
      <c r="L74" s="3">
        <v>2</v>
      </c>
      <c r="M74" s="4" t="s">
        <v>25</v>
      </c>
      <c r="N74" s="42">
        <v>4</v>
      </c>
      <c r="O74" s="22"/>
      <c r="P74" s="22"/>
    </row>
    <row r="75" spans="1:16" s="23" customFormat="1" ht="15.6" x14ac:dyDescent="0.25">
      <c r="A75" s="37"/>
      <c r="B75" s="129"/>
      <c r="C75" s="125"/>
      <c r="D75" s="181"/>
      <c r="E75" s="56" t="s">
        <v>104</v>
      </c>
      <c r="F75" s="256"/>
      <c r="G75" s="116" t="s">
        <v>25</v>
      </c>
      <c r="H75" s="2" t="s">
        <v>25</v>
      </c>
      <c r="I75" s="14" t="s">
        <v>25</v>
      </c>
      <c r="J75" s="1" t="s">
        <v>25</v>
      </c>
      <c r="K75" s="1" t="s">
        <v>25</v>
      </c>
      <c r="L75" s="3">
        <v>3</v>
      </c>
      <c r="M75" s="4">
        <v>2</v>
      </c>
      <c r="N75" s="42">
        <v>4</v>
      </c>
      <c r="O75" s="22"/>
      <c r="P75" s="22"/>
    </row>
    <row r="76" spans="1:16" s="23" customFormat="1" ht="15.6" x14ac:dyDescent="0.25">
      <c r="A76" s="37"/>
      <c r="B76" s="129"/>
      <c r="C76" s="125"/>
      <c r="D76" s="181"/>
      <c r="E76" s="56" t="s">
        <v>105</v>
      </c>
      <c r="F76" s="256"/>
      <c r="G76" s="116" t="s">
        <v>25</v>
      </c>
      <c r="H76" s="2" t="s">
        <v>25</v>
      </c>
      <c r="I76" s="14" t="s">
        <v>25</v>
      </c>
      <c r="J76" s="1" t="s">
        <v>25</v>
      </c>
      <c r="K76" s="1" t="s">
        <v>25</v>
      </c>
      <c r="L76" s="3">
        <v>3</v>
      </c>
      <c r="M76" s="4">
        <v>2</v>
      </c>
      <c r="N76" s="42">
        <v>2</v>
      </c>
      <c r="O76" s="22"/>
      <c r="P76" s="22"/>
    </row>
    <row r="77" spans="1:16" s="23" customFormat="1" ht="15.6" x14ac:dyDescent="0.25">
      <c r="A77" s="37"/>
      <c r="B77" s="129"/>
      <c r="C77" s="125"/>
      <c r="D77" s="181"/>
      <c r="E77" s="56" t="s">
        <v>106</v>
      </c>
      <c r="F77" s="256"/>
      <c r="G77" s="116" t="s">
        <v>25</v>
      </c>
      <c r="H77" s="2" t="s">
        <v>25</v>
      </c>
      <c r="I77" s="14" t="s">
        <v>25</v>
      </c>
      <c r="J77" s="1" t="s">
        <v>25</v>
      </c>
      <c r="K77" s="1" t="s">
        <v>25</v>
      </c>
      <c r="L77" s="3">
        <v>3</v>
      </c>
      <c r="M77" s="4">
        <v>1</v>
      </c>
      <c r="N77" s="42">
        <v>4</v>
      </c>
      <c r="O77" s="22"/>
      <c r="P77" s="22"/>
    </row>
    <row r="78" spans="1:16" s="23" customFormat="1" ht="15.6" x14ac:dyDescent="0.25">
      <c r="A78" s="37"/>
      <c r="B78" s="129"/>
      <c r="C78" s="125"/>
      <c r="D78" s="181"/>
      <c r="E78" s="57" t="s">
        <v>107</v>
      </c>
      <c r="F78" s="256"/>
      <c r="G78" s="116" t="s">
        <v>25</v>
      </c>
      <c r="H78" s="2" t="s">
        <v>25</v>
      </c>
      <c r="I78" s="14" t="s">
        <v>25</v>
      </c>
      <c r="J78" s="1" t="s">
        <v>25</v>
      </c>
      <c r="K78" s="1" t="s">
        <v>25</v>
      </c>
      <c r="L78" s="3">
        <v>3</v>
      </c>
      <c r="M78" s="4">
        <v>2</v>
      </c>
      <c r="N78" s="42">
        <v>4</v>
      </c>
      <c r="O78" s="22"/>
      <c r="P78" s="22"/>
    </row>
    <row r="79" spans="1:16" s="23" customFormat="1" ht="15.6" x14ac:dyDescent="0.25">
      <c r="A79" s="37"/>
      <c r="B79" s="129"/>
      <c r="C79" s="125"/>
      <c r="D79" s="182"/>
      <c r="E79" s="57" t="s">
        <v>108</v>
      </c>
      <c r="F79" s="256"/>
      <c r="G79" s="116" t="s">
        <v>25</v>
      </c>
      <c r="H79" s="2" t="s">
        <v>25</v>
      </c>
      <c r="I79" s="14" t="s">
        <v>25</v>
      </c>
      <c r="J79" s="1" t="s">
        <v>25</v>
      </c>
      <c r="K79" s="1" t="s">
        <v>25</v>
      </c>
      <c r="L79" s="3">
        <v>3</v>
      </c>
      <c r="M79" s="4">
        <v>2</v>
      </c>
      <c r="N79" s="42">
        <v>4</v>
      </c>
      <c r="O79" s="22"/>
      <c r="P79" s="22"/>
    </row>
    <row r="80" spans="1:16" s="23" customFormat="1" ht="15.6" x14ac:dyDescent="0.25">
      <c r="A80" s="37"/>
      <c r="B80" s="129"/>
      <c r="C80" s="125"/>
      <c r="D80" s="196" t="s">
        <v>109</v>
      </c>
      <c r="E80" s="48" t="s">
        <v>103</v>
      </c>
      <c r="F80" s="256"/>
      <c r="G80" s="116">
        <v>1</v>
      </c>
      <c r="H80" s="2" t="s">
        <v>25</v>
      </c>
      <c r="I80" s="14" t="s">
        <v>25</v>
      </c>
      <c r="J80" s="1" t="s">
        <v>25</v>
      </c>
      <c r="K80" s="1" t="s">
        <v>25</v>
      </c>
      <c r="L80" s="4" t="s">
        <v>25</v>
      </c>
      <c r="M80" s="4" t="s">
        <v>25</v>
      </c>
      <c r="N80" s="42"/>
      <c r="O80" s="22"/>
      <c r="P80" s="22"/>
    </row>
    <row r="81" spans="1:16" s="23" customFormat="1" ht="15.6" x14ac:dyDescent="0.25">
      <c r="A81" s="37"/>
      <c r="B81" s="129"/>
      <c r="C81" s="125"/>
      <c r="D81" s="196"/>
      <c r="E81" s="57" t="s">
        <v>110</v>
      </c>
      <c r="F81" s="256"/>
      <c r="G81" s="116" t="s">
        <v>25</v>
      </c>
      <c r="H81" s="2" t="s">
        <v>25</v>
      </c>
      <c r="I81" s="14" t="s">
        <v>25</v>
      </c>
      <c r="J81" s="1" t="s">
        <v>25</v>
      </c>
      <c r="K81" s="1" t="s">
        <v>25</v>
      </c>
      <c r="L81" s="3">
        <v>1</v>
      </c>
      <c r="M81" s="4">
        <v>2</v>
      </c>
      <c r="N81" s="42">
        <v>1</v>
      </c>
      <c r="O81" s="22"/>
      <c r="P81" s="22"/>
    </row>
    <row r="82" spans="1:16" s="23" customFormat="1" ht="15.6" x14ac:dyDescent="0.25">
      <c r="A82" s="37"/>
      <c r="B82" s="129"/>
      <c r="C82" s="125"/>
      <c r="D82" s="196"/>
      <c r="E82" s="57" t="s">
        <v>111</v>
      </c>
      <c r="F82" s="256"/>
      <c r="G82" s="116" t="s">
        <v>25</v>
      </c>
      <c r="H82" s="2" t="s">
        <v>25</v>
      </c>
      <c r="I82" s="14" t="s">
        <v>25</v>
      </c>
      <c r="J82" s="1" t="s">
        <v>25</v>
      </c>
      <c r="K82" s="1" t="s">
        <v>25</v>
      </c>
      <c r="L82" s="3">
        <v>1</v>
      </c>
      <c r="M82" s="4">
        <v>2</v>
      </c>
      <c r="N82" s="42">
        <v>2</v>
      </c>
      <c r="O82" s="22"/>
      <c r="P82" s="22"/>
    </row>
    <row r="83" spans="1:16" s="23" customFormat="1" ht="15.6" x14ac:dyDescent="0.25">
      <c r="A83" s="37"/>
      <c r="B83" s="129"/>
      <c r="C83" s="125"/>
      <c r="D83" s="197"/>
      <c r="E83" s="57" t="s">
        <v>112</v>
      </c>
      <c r="F83" s="256"/>
      <c r="G83" s="116" t="s">
        <v>25</v>
      </c>
      <c r="H83" s="2" t="s">
        <v>25</v>
      </c>
      <c r="I83" s="14" t="s">
        <v>25</v>
      </c>
      <c r="J83" s="1" t="s">
        <v>25</v>
      </c>
      <c r="K83" s="1" t="s">
        <v>25</v>
      </c>
      <c r="L83" s="3">
        <v>3</v>
      </c>
      <c r="M83" s="4">
        <v>2</v>
      </c>
      <c r="N83" s="42">
        <v>3</v>
      </c>
      <c r="O83" s="22"/>
      <c r="P83" s="22"/>
    </row>
    <row r="84" spans="1:16" s="23" customFormat="1" ht="15.6" x14ac:dyDescent="0.25">
      <c r="A84" s="37"/>
      <c r="B84" s="129"/>
      <c r="C84" s="125"/>
      <c r="D84" s="198" t="s">
        <v>113</v>
      </c>
      <c r="E84" s="57" t="s">
        <v>114</v>
      </c>
      <c r="F84" s="256"/>
      <c r="G84" s="116" t="s">
        <v>25</v>
      </c>
      <c r="H84" s="2" t="s">
        <v>25</v>
      </c>
      <c r="I84" s="14" t="s">
        <v>25</v>
      </c>
      <c r="J84" s="1">
        <v>0.5</v>
      </c>
      <c r="K84" s="1">
        <v>0.5</v>
      </c>
      <c r="L84" s="3">
        <v>2</v>
      </c>
      <c r="M84" s="4">
        <v>1</v>
      </c>
      <c r="N84" s="42">
        <v>1</v>
      </c>
      <c r="O84" s="22"/>
      <c r="P84" s="22"/>
    </row>
    <row r="85" spans="1:16" s="23" customFormat="1" ht="15.6" x14ac:dyDescent="0.25">
      <c r="A85" s="37"/>
      <c r="B85" s="129"/>
      <c r="C85" s="125"/>
      <c r="D85" s="197"/>
      <c r="E85" s="57" t="s">
        <v>115</v>
      </c>
      <c r="F85" s="256"/>
      <c r="G85" s="116" t="s">
        <v>25</v>
      </c>
      <c r="H85" s="2" t="s">
        <v>25</v>
      </c>
      <c r="I85" s="14" t="s">
        <v>25</v>
      </c>
      <c r="J85" s="1">
        <v>3</v>
      </c>
      <c r="K85" s="1">
        <v>3</v>
      </c>
      <c r="L85" s="3">
        <v>3</v>
      </c>
      <c r="M85" s="4">
        <v>2</v>
      </c>
      <c r="N85" s="42">
        <v>2</v>
      </c>
      <c r="O85" s="22"/>
      <c r="P85" s="22"/>
    </row>
    <row r="86" spans="1:16" s="23" customFormat="1" ht="15.6" x14ac:dyDescent="0.25">
      <c r="A86" s="37"/>
      <c r="B86" s="129"/>
      <c r="C86" s="125"/>
      <c r="D86" s="178" t="s">
        <v>116</v>
      </c>
      <c r="E86" s="48" t="s">
        <v>103</v>
      </c>
      <c r="F86" s="256"/>
      <c r="G86" s="116">
        <v>1</v>
      </c>
      <c r="H86" s="2" t="s">
        <v>25</v>
      </c>
      <c r="I86" s="14" t="s">
        <v>25</v>
      </c>
      <c r="J86" s="1" t="s">
        <v>25</v>
      </c>
      <c r="K86" s="1" t="s">
        <v>25</v>
      </c>
      <c r="L86" s="3">
        <v>2</v>
      </c>
      <c r="M86" s="4" t="s">
        <v>25</v>
      </c>
      <c r="N86" s="42" t="s">
        <v>25</v>
      </c>
      <c r="O86" s="22"/>
      <c r="P86" s="22"/>
    </row>
    <row r="87" spans="1:16" s="23" customFormat="1" ht="15.6" x14ac:dyDescent="0.25">
      <c r="A87" s="37"/>
      <c r="B87" s="129"/>
      <c r="C87" s="125"/>
      <c r="D87" s="199"/>
      <c r="E87" s="11" t="s">
        <v>116</v>
      </c>
      <c r="F87" s="256"/>
      <c r="G87" s="116" t="s">
        <v>25</v>
      </c>
      <c r="H87" s="2" t="s">
        <v>25</v>
      </c>
      <c r="I87" s="14" t="s">
        <v>25</v>
      </c>
      <c r="J87" s="1" t="s">
        <v>25</v>
      </c>
      <c r="K87" s="1" t="s">
        <v>25</v>
      </c>
      <c r="L87" s="3">
        <v>4</v>
      </c>
      <c r="M87" s="4">
        <v>2</v>
      </c>
      <c r="N87" s="42">
        <v>3</v>
      </c>
      <c r="O87" s="22"/>
      <c r="P87" s="22"/>
    </row>
    <row r="88" spans="1:16" s="23" customFormat="1" ht="15.6" x14ac:dyDescent="0.25">
      <c r="A88" s="37"/>
      <c r="B88" s="129"/>
      <c r="C88" s="125"/>
      <c r="D88" s="200" t="s">
        <v>247</v>
      </c>
      <c r="E88" s="58" t="s">
        <v>248</v>
      </c>
      <c r="F88" s="256"/>
      <c r="G88" s="143" t="s">
        <v>251</v>
      </c>
      <c r="H88" s="266" t="s">
        <v>251</v>
      </c>
      <c r="I88" s="128" t="s">
        <v>251</v>
      </c>
      <c r="J88" s="128" t="s">
        <v>251</v>
      </c>
      <c r="K88" s="128" t="s">
        <v>251</v>
      </c>
      <c r="L88" s="124">
        <v>7</v>
      </c>
      <c r="M88" s="203">
        <v>6</v>
      </c>
      <c r="N88" s="204">
        <v>3</v>
      </c>
      <c r="O88" s="22"/>
      <c r="P88" s="22"/>
    </row>
    <row r="89" spans="1:16" s="23" customFormat="1" ht="15.6" x14ac:dyDescent="0.25">
      <c r="A89" s="37"/>
      <c r="B89" s="129"/>
      <c r="C89" s="125"/>
      <c r="D89" s="178"/>
      <c r="E89" s="200" t="s">
        <v>249</v>
      </c>
      <c r="F89" s="256"/>
      <c r="G89" s="143"/>
      <c r="H89" s="267"/>
      <c r="I89" s="129"/>
      <c r="J89" s="129"/>
      <c r="K89" s="129"/>
      <c r="L89" s="125"/>
      <c r="M89" s="134"/>
      <c r="N89" s="205"/>
      <c r="O89" s="22"/>
      <c r="P89" s="22"/>
    </row>
    <row r="90" spans="1:16" s="23" customFormat="1" ht="15.6" x14ac:dyDescent="0.25">
      <c r="A90" s="37"/>
      <c r="B90" s="129"/>
      <c r="C90" s="125"/>
      <c r="D90" s="178"/>
      <c r="E90" s="199"/>
      <c r="F90" s="256"/>
      <c r="G90" s="143"/>
      <c r="H90" s="267"/>
      <c r="I90" s="129"/>
      <c r="J90" s="129"/>
      <c r="K90" s="129"/>
      <c r="L90" s="125"/>
      <c r="M90" s="134"/>
      <c r="N90" s="205"/>
      <c r="O90" s="22"/>
      <c r="P90" s="22"/>
    </row>
    <row r="91" spans="1:16" s="23" customFormat="1" ht="15.6" x14ac:dyDescent="0.25">
      <c r="A91" s="37"/>
      <c r="B91" s="129"/>
      <c r="C91" s="125"/>
      <c r="D91" s="178"/>
      <c r="E91" s="200" t="s">
        <v>250</v>
      </c>
      <c r="F91" s="256"/>
      <c r="G91" s="143"/>
      <c r="H91" s="267"/>
      <c r="I91" s="129"/>
      <c r="J91" s="129"/>
      <c r="K91" s="129"/>
      <c r="L91" s="125"/>
      <c r="M91" s="134"/>
      <c r="N91" s="205"/>
      <c r="O91" s="22"/>
      <c r="P91" s="22"/>
    </row>
    <row r="92" spans="1:16" s="23" customFormat="1" ht="15.6" x14ac:dyDescent="0.25">
      <c r="A92" s="37"/>
      <c r="B92" s="129"/>
      <c r="C92" s="125"/>
      <c r="D92" s="199"/>
      <c r="E92" s="199"/>
      <c r="F92" s="256"/>
      <c r="G92" s="143"/>
      <c r="H92" s="268"/>
      <c r="I92" s="130"/>
      <c r="J92" s="130"/>
      <c r="K92" s="130"/>
      <c r="L92" s="126"/>
      <c r="M92" s="135"/>
      <c r="N92" s="206"/>
      <c r="O92" s="22"/>
      <c r="P92" s="22"/>
    </row>
    <row r="93" spans="1:16" s="23" customFormat="1" ht="15.6" x14ac:dyDescent="0.25">
      <c r="A93" s="37"/>
      <c r="B93" s="129"/>
      <c r="C93" s="125"/>
      <c r="D93" s="127" t="s">
        <v>117</v>
      </c>
      <c r="E93" s="172" t="s">
        <v>118</v>
      </c>
      <c r="F93" s="256"/>
      <c r="G93" s="116" t="s">
        <v>25</v>
      </c>
      <c r="H93" s="2" t="s">
        <v>25</v>
      </c>
      <c r="I93" s="14" t="s">
        <v>25</v>
      </c>
      <c r="J93" s="1">
        <v>0.5</v>
      </c>
      <c r="K93" s="1">
        <v>0.5</v>
      </c>
      <c r="L93" s="3">
        <v>3</v>
      </c>
      <c r="M93" s="4">
        <v>1</v>
      </c>
      <c r="N93" s="42">
        <v>1</v>
      </c>
      <c r="O93" s="22"/>
      <c r="P93" s="22"/>
    </row>
    <row r="94" spans="1:16" s="23" customFormat="1" ht="15.6" x14ac:dyDescent="0.25">
      <c r="A94" s="37"/>
      <c r="B94" s="129"/>
      <c r="C94" s="126"/>
      <c r="D94" s="127"/>
      <c r="E94" s="173"/>
      <c r="F94" s="257"/>
      <c r="G94" s="116" t="s">
        <v>25</v>
      </c>
      <c r="H94" s="2" t="s">
        <v>25</v>
      </c>
      <c r="I94" s="14" t="s">
        <v>25</v>
      </c>
      <c r="J94" s="1">
        <v>0.5</v>
      </c>
      <c r="K94" s="1">
        <v>0.5</v>
      </c>
      <c r="L94" s="3">
        <v>3</v>
      </c>
      <c r="M94" s="4">
        <v>1</v>
      </c>
      <c r="N94" s="42">
        <v>2</v>
      </c>
      <c r="O94" s="22"/>
      <c r="P94" s="22"/>
    </row>
    <row r="95" spans="1:16" s="23" customFormat="1" ht="15.6" x14ac:dyDescent="0.25">
      <c r="A95" s="37"/>
      <c r="B95" s="129"/>
      <c r="C95" s="162" t="s">
        <v>120</v>
      </c>
      <c r="D95" s="30" t="s">
        <v>88</v>
      </c>
      <c r="E95" s="22" t="s">
        <v>119</v>
      </c>
      <c r="F95" s="59"/>
      <c r="G95" s="116">
        <v>3</v>
      </c>
      <c r="H95" s="2">
        <v>1</v>
      </c>
      <c r="I95" s="45">
        <v>1</v>
      </c>
      <c r="J95" s="1" t="s">
        <v>25</v>
      </c>
      <c r="K95" s="32" t="s">
        <v>25</v>
      </c>
      <c r="L95" s="60">
        <v>5</v>
      </c>
      <c r="M95" s="61">
        <v>5</v>
      </c>
      <c r="N95" s="42" t="s">
        <v>25</v>
      </c>
      <c r="O95" s="22"/>
      <c r="P95" s="22"/>
    </row>
    <row r="96" spans="1:16" s="23" customFormat="1" ht="15.6" x14ac:dyDescent="0.25">
      <c r="A96" s="37"/>
      <c r="B96" s="129"/>
      <c r="C96" s="163"/>
      <c r="D96" s="46" t="s">
        <v>90</v>
      </c>
      <c r="E96" s="41" t="s">
        <v>121</v>
      </c>
      <c r="F96" s="258"/>
      <c r="G96" s="116">
        <v>1</v>
      </c>
      <c r="H96" s="2" t="s">
        <v>25</v>
      </c>
      <c r="I96" s="1">
        <v>1</v>
      </c>
      <c r="J96" s="1" t="s">
        <v>25</v>
      </c>
      <c r="K96" s="1" t="s">
        <v>25</v>
      </c>
      <c r="L96" s="8">
        <v>3</v>
      </c>
      <c r="M96" s="9">
        <v>2</v>
      </c>
      <c r="N96" s="1" t="s">
        <v>25</v>
      </c>
      <c r="O96" s="22"/>
      <c r="P96" s="22"/>
    </row>
    <row r="97" spans="1:16" s="23" customFormat="1" ht="46.8" x14ac:dyDescent="0.25">
      <c r="A97" s="37"/>
      <c r="B97" s="129"/>
      <c r="C97" s="164"/>
      <c r="D97" s="46" t="s">
        <v>122</v>
      </c>
      <c r="E97" s="41" t="s">
        <v>82</v>
      </c>
      <c r="F97" s="259"/>
      <c r="G97" s="116" t="s">
        <v>25</v>
      </c>
      <c r="H97" s="2" t="s">
        <v>25</v>
      </c>
      <c r="I97" s="14" t="s">
        <v>25</v>
      </c>
      <c r="J97" s="1">
        <v>3</v>
      </c>
      <c r="K97" s="1" t="s">
        <v>25</v>
      </c>
      <c r="L97" s="8">
        <v>2</v>
      </c>
      <c r="M97" s="9">
        <v>2</v>
      </c>
      <c r="N97" s="1">
        <v>4</v>
      </c>
      <c r="O97" s="22"/>
      <c r="P97" s="22"/>
    </row>
    <row r="98" spans="1:16" s="23" customFormat="1" ht="15.6" x14ac:dyDescent="0.25">
      <c r="A98" s="37"/>
      <c r="B98" s="129"/>
      <c r="C98" s="124" t="s">
        <v>263</v>
      </c>
      <c r="D98" s="207" t="s">
        <v>254</v>
      </c>
      <c r="E98" s="63" t="s">
        <v>124</v>
      </c>
      <c r="F98" s="260" t="s">
        <v>92</v>
      </c>
      <c r="G98" s="116" t="s">
        <v>25</v>
      </c>
      <c r="H98" s="2" t="s">
        <v>25</v>
      </c>
      <c r="I98" s="14" t="s">
        <v>25</v>
      </c>
      <c r="J98" s="1" t="s">
        <v>25</v>
      </c>
      <c r="K98" s="1" t="s">
        <v>25</v>
      </c>
      <c r="L98" s="3">
        <v>2</v>
      </c>
      <c r="M98" s="4">
        <v>2</v>
      </c>
      <c r="N98" s="1">
        <v>5</v>
      </c>
      <c r="O98" s="22"/>
      <c r="P98" s="22"/>
    </row>
    <row r="99" spans="1:16" s="23" customFormat="1" ht="15.6" x14ac:dyDescent="0.25">
      <c r="A99" s="37"/>
      <c r="B99" s="129"/>
      <c r="C99" s="125"/>
      <c r="D99" s="208"/>
      <c r="E99" s="63" t="s">
        <v>125</v>
      </c>
      <c r="F99" s="261"/>
      <c r="G99" s="116" t="s">
        <v>25</v>
      </c>
      <c r="H99" s="2" t="s">
        <v>25</v>
      </c>
      <c r="I99" s="14" t="s">
        <v>25</v>
      </c>
      <c r="J99" s="1" t="s">
        <v>25</v>
      </c>
      <c r="K99" s="1" t="s">
        <v>25</v>
      </c>
      <c r="L99" s="3">
        <v>2</v>
      </c>
      <c r="M99" s="4">
        <v>2</v>
      </c>
      <c r="N99" s="1">
        <v>4</v>
      </c>
      <c r="O99" s="22"/>
      <c r="P99" s="22"/>
    </row>
    <row r="100" spans="1:16" s="23" customFormat="1" ht="15.6" x14ac:dyDescent="0.25">
      <c r="A100" s="37"/>
      <c r="B100" s="129"/>
      <c r="C100" s="125"/>
      <c r="D100" s="203" t="s">
        <v>123</v>
      </c>
      <c r="E100" s="63" t="s">
        <v>126</v>
      </c>
      <c r="F100" s="261"/>
      <c r="G100" s="116" t="s">
        <v>25</v>
      </c>
      <c r="H100" s="2" t="s">
        <v>25</v>
      </c>
      <c r="I100" s="14" t="s">
        <v>25</v>
      </c>
      <c r="J100" s="1" t="s">
        <v>25</v>
      </c>
      <c r="K100" s="1" t="s">
        <v>25</v>
      </c>
      <c r="L100" s="3">
        <v>2</v>
      </c>
      <c r="M100" s="4">
        <v>2</v>
      </c>
      <c r="N100" s="1">
        <v>5</v>
      </c>
      <c r="O100" s="22"/>
      <c r="P100" s="22"/>
    </row>
    <row r="101" spans="1:16" s="23" customFormat="1" ht="15.6" x14ac:dyDescent="0.25">
      <c r="A101" s="37"/>
      <c r="B101" s="129"/>
      <c r="C101" s="125"/>
      <c r="D101" s="134"/>
      <c r="E101" s="64" t="s">
        <v>260</v>
      </c>
      <c r="F101" s="261"/>
      <c r="G101" s="116" t="s">
        <v>25</v>
      </c>
      <c r="H101" s="2" t="s">
        <v>25</v>
      </c>
      <c r="I101" s="14" t="s">
        <v>25</v>
      </c>
      <c r="J101" s="1" t="s">
        <v>25</v>
      </c>
      <c r="K101" s="1" t="s">
        <v>25</v>
      </c>
      <c r="L101" s="3" t="s">
        <v>251</v>
      </c>
      <c r="M101" s="4">
        <v>8</v>
      </c>
      <c r="N101" s="1">
        <v>1</v>
      </c>
      <c r="O101" s="22"/>
      <c r="P101" s="22"/>
    </row>
    <row r="102" spans="1:16" s="23" customFormat="1" ht="15.6" x14ac:dyDescent="0.25">
      <c r="A102" s="37"/>
      <c r="B102" s="129"/>
      <c r="C102" s="125"/>
      <c r="D102" s="134"/>
      <c r="E102" s="63" t="s">
        <v>127</v>
      </c>
      <c r="F102" s="261"/>
      <c r="G102" s="116" t="s">
        <v>25</v>
      </c>
      <c r="H102" s="2" t="s">
        <v>25</v>
      </c>
      <c r="I102" s="14" t="s">
        <v>25</v>
      </c>
      <c r="J102" s="1" t="s">
        <v>25</v>
      </c>
      <c r="K102" s="1" t="s">
        <v>25</v>
      </c>
      <c r="L102" s="3">
        <v>2</v>
      </c>
      <c r="M102" s="4">
        <v>2</v>
      </c>
      <c r="N102" s="1">
        <v>3</v>
      </c>
      <c r="O102" s="22"/>
      <c r="P102" s="22"/>
    </row>
    <row r="103" spans="1:16" s="23" customFormat="1" ht="15.6" x14ac:dyDescent="0.25">
      <c r="A103" s="37"/>
      <c r="B103" s="129"/>
      <c r="C103" s="125"/>
      <c r="D103" s="134"/>
      <c r="E103" s="63" t="s">
        <v>128</v>
      </c>
      <c r="F103" s="261"/>
      <c r="G103" s="116" t="s">
        <v>25</v>
      </c>
      <c r="H103" s="2" t="s">
        <v>25</v>
      </c>
      <c r="I103" s="14" t="s">
        <v>25</v>
      </c>
      <c r="J103" s="1" t="s">
        <v>25</v>
      </c>
      <c r="K103" s="1" t="s">
        <v>25</v>
      </c>
      <c r="L103" s="3">
        <v>1</v>
      </c>
      <c r="M103" s="4">
        <v>2</v>
      </c>
      <c r="N103" s="1">
        <v>2</v>
      </c>
      <c r="O103" s="22"/>
      <c r="P103" s="22"/>
    </row>
    <row r="104" spans="1:16" s="23" customFormat="1" ht="15.6" x14ac:dyDescent="0.25">
      <c r="A104" s="37"/>
      <c r="B104" s="129"/>
      <c r="C104" s="125"/>
      <c r="D104" s="134"/>
      <c r="E104" s="63" t="s">
        <v>129</v>
      </c>
      <c r="F104" s="261"/>
      <c r="G104" s="116" t="s">
        <v>25</v>
      </c>
      <c r="H104" s="2" t="s">
        <v>25</v>
      </c>
      <c r="I104" s="14" t="s">
        <v>25</v>
      </c>
      <c r="J104" s="1" t="s">
        <v>25</v>
      </c>
      <c r="K104" s="1" t="s">
        <v>25</v>
      </c>
      <c r="L104" s="3">
        <v>1</v>
      </c>
      <c r="M104" s="4">
        <v>2</v>
      </c>
      <c r="N104" s="1">
        <v>2</v>
      </c>
      <c r="O104" s="22"/>
      <c r="P104" s="22"/>
    </row>
    <row r="105" spans="1:16" s="23" customFormat="1" ht="15.6" x14ac:dyDescent="0.25">
      <c r="A105" s="37"/>
      <c r="B105" s="129"/>
      <c r="C105" s="125"/>
      <c r="D105" s="134"/>
      <c r="E105" s="63" t="s">
        <v>130</v>
      </c>
      <c r="F105" s="261"/>
      <c r="G105" s="116" t="s">
        <v>25</v>
      </c>
      <c r="H105" s="2" t="s">
        <v>25</v>
      </c>
      <c r="I105" s="14" t="s">
        <v>25</v>
      </c>
      <c r="J105" s="1" t="s">
        <v>25</v>
      </c>
      <c r="K105" s="1" t="s">
        <v>25</v>
      </c>
      <c r="L105" s="3">
        <v>1</v>
      </c>
      <c r="M105" s="4">
        <v>2</v>
      </c>
      <c r="N105" s="1">
        <v>2</v>
      </c>
      <c r="O105" s="22"/>
      <c r="P105" s="22"/>
    </row>
    <row r="106" spans="1:16" s="23" customFormat="1" ht="15.6" x14ac:dyDescent="0.25">
      <c r="A106" s="37"/>
      <c r="B106" s="129"/>
      <c r="C106" s="125"/>
      <c r="D106" s="134"/>
      <c r="E106" s="63" t="s">
        <v>125</v>
      </c>
      <c r="F106" s="261"/>
      <c r="G106" s="116" t="s">
        <v>25</v>
      </c>
      <c r="H106" s="2" t="s">
        <v>25</v>
      </c>
      <c r="I106" s="14" t="s">
        <v>25</v>
      </c>
      <c r="J106" s="1" t="s">
        <v>25</v>
      </c>
      <c r="K106" s="1" t="s">
        <v>25</v>
      </c>
      <c r="L106" s="3">
        <v>1</v>
      </c>
      <c r="M106" s="4">
        <v>1</v>
      </c>
      <c r="N106" s="128">
        <v>2</v>
      </c>
      <c r="O106" s="22"/>
      <c r="P106" s="22"/>
    </row>
    <row r="107" spans="1:16" s="23" customFormat="1" ht="15.6" x14ac:dyDescent="0.25">
      <c r="A107" s="37"/>
      <c r="B107" s="129"/>
      <c r="C107" s="125"/>
      <c r="D107" s="135"/>
      <c r="E107" s="63" t="s">
        <v>132</v>
      </c>
      <c r="F107" s="261"/>
      <c r="G107" s="116" t="s">
        <v>25</v>
      </c>
      <c r="H107" s="2" t="s">
        <v>25</v>
      </c>
      <c r="I107" s="14" t="s">
        <v>25</v>
      </c>
      <c r="J107" s="1" t="s">
        <v>25</v>
      </c>
      <c r="K107" s="1" t="s">
        <v>25</v>
      </c>
      <c r="L107" s="3">
        <v>1</v>
      </c>
      <c r="M107" s="4" t="s">
        <v>265</v>
      </c>
      <c r="N107" s="130"/>
      <c r="O107" s="22"/>
      <c r="P107" s="22"/>
    </row>
    <row r="108" spans="1:16" s="23" customFormat="1" ht="15.6" x14ac:dyDescent="0.25">
      <c r="A108" s="37"/>
      <c r="B108" s="129"/>
      <c r="C108" s="125"/>
      <c r="D108" s="201" t="s">
        <v>131</v>
      </c>
      <c r="E108" s="63" t="s">
        <v>125</v>
      </c>
      <c r="F108" s="261"/>
      <c r="G108" s="116" t="s">
        <v>25</v>
      </c>
      <c r="H108" s="2" t="s">
        <v>25</v>
      </c>
      <c r="I108" s="14" t="s">
        <v>25</v>
      </c>
      <c r="J108" s="1" t="s">
        <v>25</v>
      </c>
      <c r="K108" s="1" t="s">
        <v>25</v>
      </c>
      <c r="L108" s="3">
        <v>1</v>
      </c>
      <c r="M108" s="4">
        <v>1</v>
      </c>
      <c r="N108" s="1">
        <v>2</v>
      </c>
      <c r="O108" s="22"/>
      <c r="P108" s="22"/>
    </row>
    <row r="109" spans="1:16" s="23" customFormat="1" ht="15.6" x14ac:dyDescent="0.25">
      <c r="A109" s="37"/>
      <c r="B109" s="129"/>
      <c r="C109" s="125"/>
      <c r="D109" s="201"/>
      <c r="E109" s="63" t="s">
        <v>132</v>
      </c>
      <c r="F109" s="261"/>
      <c r="G109" s="116" t="s">
        <v>25</v>
      </c>
      <c r="H109" s="2" t="s">
        <v>25</v>
      </c>
      <c r="I109" s="14" t="s">
        <v>25</v>
      </c>
      <c r="J109" s="1" t="s">
        <v>25</v>
      </c>
      <c r="K109" s="1" t="s">
        <v>25</v>
      </c>
      <c r="L109" s="3">
        <v>1</v>
      </c>
      <c r="M109" s="4" t="s">
        <v>25</v>
      </c>
      <c r="N109" s="1">
        <v>1</v>
      </c>
      <c r="O109" s="22"/>
      <c r="P109" s="22"/>
    </row>
    <row r="110" spans="1:16" s="23" customFormat="1" ht="15.6" x14ac:dyDescent="0.25">
      <c r="A110" s="37"/>
      <c r="B110" s="129"/>
      <c r="C110" s="125"/>
      <c r="D110" s="201"/>
      <c r="E110" s="63" t="s">
        <v>133</v>
      </c>
      <c r="F110" s="261"/>
      <c r="G110" s="116" t="s">
        <v>25</v>
      </c>
      <c r="H110" s="2" t="s">
        <v>25</v>
      </c>
      <c r="I110" s="14" t="s">
        <v>25</v>
      </c>
      <c r="J110" s="1" t="s">
        <v>25</v>
      </c>
      <c r="K110" s="1" t="s">
        <v>25</v>
      </c>
      <c r="L110" s="3">
        <v>1</v>
      </c>
      <c r="M110" s="4">
        <v>1</v>
      </c>
      <c r="N110" s="1">
        <v>2</v>
      </c>
      <c r="O110" s="22"/>
      <c r="P110" s="22"/>
    </row>
    <row r="111" spans="1:16" s="23" customFormat="1" ht="15.6" x14ac:dyDescent="0.25">
      <c r="A111" s="37"/>
      <c r="B111" s="129"/>
      <c r="C111" s="125"/>
      <c r="D111" s="201"/>
      <c r="E111" s="63" t="s">
        <v>134</v>
      </c>
      <c r="F111" s="261"/>
      <c r="G111" s="116" t="s">
        <v>25</v>
      </c>
      <c r="H111" s="2" t="s">
        <v>25</v>
      </c>
      <c r="I111" s="14" t="s">
        <v>25</v>
      </c>
      <c r="J111" s="1" t="s">
        <v>25</v>
      </c>
      <c r="K111" s="1" t="s">
        <v>25</v>
      </c>
      <c r="L111" s="3">
        <v>1</v>
      </c>
      <c r="M111" s="4">
        <v>1</v>
      </c>
      <c r="N111" s="1">
        <v>2</v>
      </c>
      <c r="O111" s="22"/>
      <c r="P111" s="22"/>
    </row>
    <row r="112" spans="1:16" s="23" customFormat="1" ht="15.6" x14ac:dyDescent="0.25">
      <c r="A112" s="37"/>
      <c r="B112" s="129"/>
      <c r="C112" s="125"/>
      <c r="D112" s="201" t="s">
        <v>135</v>
      </c>
      <c r="E112" s="63" t="s">
        <v>125</v>
      </c>
      <c r="F112" s="261"/>
      <c r="G112" s="116" t="s">
        <v>25</v>
      </c>
      <c r="H112" s="2" t="s">
        <v>25</v>
      </c>
      <c r="I112" s="14" t="s">
        <v>25</v>
      </c>
      <c r="J112" s="1" t="s">
        <v>25</v>
      </c>
      <c r="K112" s="1" t="s">
        <v>25</v>
      </c>
      <c r="L112" s="3">
        <v>1</v>
      </c>
      <c r="M112" s="4">
        <v>1</v>
      </c>
      <c r="N112" s="1">
        <v>1</v>
      </c>
      <c r="O112" s="22"/>
      <c r="P112" s="22"/>
    </row>
    <row r="113" spans="1:16" s="23" customFormat="1" ht="15.6" x14ac:dyDescent="0.25">
      <c r="A113" s="37"/>
      <c r="B113" s="129"/>
      <c r="C113" s="125"/>
      <c r="D113" s="201"/>
      <c r="E113" s="63" t="s">
        <v>132</v>
      </c>
      <c r="F113" s="261"/>
      <c r="G113" s="116" t="s">
        <v>25</v>
      </c>
      <c r="H113" s="2" t="s">
        <v>25</v>
      </c>
      <c r="I113" s="14" t="s">
        <v>25</v>
      </c>
      <c r="J113" s="1" t="s">
        <v>25</v>
      </c>
      <c r="K113" s="1" t="s">
        <v>25</v>
      </c>
      <c r="L113" s="3">
        <v>1</v>
      </c>
      <c r="M113" s="4">
        <v>1</v>
      </c>
      <c r="N113" s="1">
        <v>1</v>
      </c>
      <c r="O113" s="22"/>
      <c r="P113" s="22"/>
    </row>
    <row r="114" spans="1:16" s="23" customFormat="1" ht="15.6" x14ac:dyDescent="0.25">
      <c r="A114" s="37"/>
      <c r="B114" s="129"/>
      <c r="C114" s="125"/>
      <c r="D114" s="201"/>
      <c r="E114" s="63" t="s">
        <v>133</v>
      </c>
      <c r="F114" s="261"/>
      <c r="G114" s="116" t="s">
        <v>25</v>
      </c>
      <c r="H114" s="2" t="s">
        <v>25</v>
      </c>
      <c r="I114" s="14" t="s">
        <v>25</v>
      </c>
      <c r="J114" s="1" t="s">
        <v>25</v>
      </c>
      <c r="K114" s="1" t="s">
        <v>25</v>
      </c>
      <c r="L114" s="3">
        <v>1</v>
      </c>
      <c r="M114" s="4">
        <v>1</v>
      </c>
      <c r="N114" s="1">
        <v>1</v>
      </c>
      <c r="O114" s="22"/>
      <c r="P114" s="22"/>
    </row>
    <row r="115" spans="1:16" s="23" customFormat="1" ht="15.6" x14ac:dyDescent="0.25">
      <c r="A115" s="37"/>
      <c r="B115" s="129"/>
      <c r="C115" s="125"/>
      <c r="D115" s="201"/>
      <c r="E115" s="63" t="s">
        <v>134</v>
      </c>
      <c r="F115" s="261"/>
      <c r="G115" s="116" t="s">
        <v>25</v>
      </c>
      <c r="H115" s="2" t="s">
        <v>25</v>
      </c>
      <c r="I115" s="14" t="s">
        <v>25</v>
      </c>
      <c r="J115" s="1" t="s">
        <v>25</v>
      </c>
      <c r="K115" s="1" t="s">
        <v>25</v>
      </c>
      <c r="L115" s="3">
        <v>1</v>
      </c>
      <c r="M115" s="4">
        <v>1</v>
      </c>
      <c r="N115" s="1">
        <v>2</v>
      </c>
      <c r="O115" s="22"/>
      <c r="P115" s="22"/>
    </row>
    <row r="116" spans="1:16" s="23" customFormat="1" ht="15.6" x14ac:dyDescent="0.25">
      <c r="A116" s="37"/>
      <c r="B116" s="129"/>
      <c r="C116" s="125"/>
      <c r="D116" s="201" t="s">
        <v>52</v>
      </c>
      <c r="E116" s="63" t="s">
        <v>125</v>
      </c>
      <c r="F116" s="261"/>
      <c r="G116" s="116" t="s">
        <v>25</v>
      </c>
      <c r="H116" s="2" t="s">
        <v>25</v>
      </c>
      <c r="I116" s="14" t="s">
        <v>25</v>
      </c>
      <c r="J116" s="1" t="s">
        <v>25</v>
      </c>
      <c r="K116" s="1" t="s">
        <v>25</v>
      </c>
      <c r="L116" s="3">
        <v>1</v>
      </c>
      <c r="M116" s="4">
        <v>1</v>
      </c>
      <c r="N116" s="1">
        <v>1</v>
      </c>
      <c r="O116" s="22"/>
      <c r="P116" s="22"/>
    </row>
    <row r="117" spans="1:16" s="23" customFormat="1" ht="15.6" x14ac:dyDescent="0.25">
      <c r="A117" s="37"/>
      <c r="B117" s="129"/>
      <c r="C117" s="125"/>
      <c r="D117" s="201"/>
      <c r="E117" s="63" t="s">
        <v>132</v>
      </c>
      <c r="F117" s="261"/>
      <c r="G117" s="116" t="s">
        <v>25</v>
      </c>
      <c r="H117" s="2" t="s">
        <v>25</v>
      </c>
      <c r="I117" s="14" t="s">
        <v>25</v>
      </c>
      <c r="J117" s="1" t="s">
        <v>25</v>
      </c>
      <c r="K117" s="1" t="s">
        <v>25</v>
      </c>
      <c r="L117" s="3">
        <v>1</v>
      </c>
      <c r="M117" s="4">
        <v>1</v>
      </c>
      <c r="N117" s="1">
        <v>1</v>
      </c>
      <c r="O117" s="22"/>
      <c r="P117" s="22"/>
    </row>
    <row r="118" spans="1:16" s="23" customFormat="1" ht="15.6" x14ac:dyDescent="0.25">
      <c r="A118" s="37"/>
      <c r="B118" s="129"/>
      <c r="C118" s="125"/>
      <c r="D118" s="201"/>
      <c r="E118" s="63" t="s">
        <v>133</v>
      </c>
      <c r="F118" s="261"/>
      <c r="G118" s="116" t="s">
        <v>25</v>
      </c>
      <c r="H118" s="2" t="s">
        <v>25</v>
      </c>
      <c r="I118" s="14" t="s">
        <v>25</v>
      </c>
      <c r="J118" s="1" t="s">
        <v>25</v>
      </c>
      <c r="K118" s="1" t="s">
        <v>25</v>
      </c>
      <c r="L118" s="3" t="s">
        <v>25</v>
      </c>
      <c r="M118" s="4">
        <v>1</v>
      </c>
      <c r="N118" s="1">
        <v>1</v>
      </c>
      <c r="O118" s="22"/>
      <c r="P118" s="22"/>
    </row>
    <row r="119" spans="1:16" s="23" customFormat="1" ht="15.6" x14ac:dyDescent="0.25">
      <c r="A119" s="37"/>
      <c r="B119" s="129"/>
      <c r="C119" s="125"/>
      <c r="D119" s="201"/>
      <c r="E119" s="63" t="s">
        <v>134</v>
      </c>
      <c r="F119" s="261"/>
      <c r="G119" s="116" t="s">
        <v>25</v>
      </c>
      <c r="H119" s="2" t="s">
        <v>25</v>
      </c>
      <c r="I119" s="14" t="s">
        <v>25</v>
      </c>
      <c r="J119" s="1" t="s">
        <v>25</v>
      </c>
      <c r="K119" s="1" t="s">
        <v>25</v>
      </c>
      <c r="L119" s="3">
        <v>1</v>
      </c>
      <c r="M119" s="4">
        <v>1</v>
      </c>
      <c r="N119" s="1">
        <v>1</v>
      </c>
      <c r="O119" s="22"/>
      <c r="P119" s="22"/>
    </row>
    <row r="120" spans="1:16" s="23" customFormat="1" ht="15.6" x14ac:dyDescent="0.25">
      <c r="A120" s="37"/>
      <c r="B120" s="129"/>
      <c r="C120" s="125"/>
      <c r="D120" s="202" t="s">
        <v>117</v>
      </c>
      <c r="E120" s="63" t="s">
        <v>118</v>
      </c>
      <c r="F120" s="261"/>
      <c r="G120" s="116" t="s">
        <v>25</v>
      </c>
      <c r="H120" s="2" t="s">
        <v>25</v>
      </c>
      <c r="I120" s="14" t="s">
        <v>25</v>
      </c>
      <c r="J120" s="1" t="s">
        <v>25</v>
      </c>
      <c r="K120" s="1" t="s">
        <v>25</v>
      </c>
      <c r="L120" s="3">
        <v>1</v>
      </c>
      <c r="M120" s="4">
        <v>1</v>
      </c>
      <c r="N120" s="1">
        <v>3</v>
      </c>
      <c r="O120" s="22"/>
      <c r="P120" s="22"/>
    </row>
    <row r="121" spans="1:16" s="23" customFormat="1" ht="15.6" x14ac:dyDescent="0.25">
      <c r="A121" s="37"/>
      <c r="B121" s="129"/>
      <c r="C121" s="125"/>
      <c r="D121" s="202"/>
      <c r="E121" s="63" t="s">
        <v>136</v>
      </c>
      <c r="F121" s="261"/>
      <c r="G121" s="116" t="s">
        <v>25</v>
      </c>
      <c r="H121" s="2" t="s">
        <v>25</v>
      </c>
      <c r="I121" s="14" t="s">
        <v>25</v>
      </c>
      <c r="J121" s="1" t="s">
        <v>25</v>
      </c>
      <c r="K121" s="1" t="s">
        <v>25</v>
      </c>
      <c r="L121" s="3">
        <v>1</v>
      </c>
      <c r="M121" s="4">
        <v>1</v>
      </c>
      <c r="N121" s="1">
        <v>2</v>
      </c>
      <c r="O121" s="22"/>
      <c r="P121" s="22"/>
    </row>
    <row r="122" spans="1:16" s="23" customFormat="1" ht="15.6" x14ac:dyDescent="0.25">
      <c r="A122" s="37"/>
      <c r="B122" s="129"/>
      <c r="C122" s="125"/>
      <c r="D122" s="202"/>
      <c r="E122" s="63" t="s">
        <v>137</v>
      </c>
      <c r="F122" s="261"/>
      <c r="G122" s="116" t="s">
        <v>25</v>
      </c>
      <c r="H122" s="2" t="s">
        <v>25</v>
      </c>
      <c r="I122" s="14" t="s">
        <v>25</v>
      </c>
      <c r="J122" s="1" t="s">
        <v>25</v>
      </c>
      <c r="K122" s="1" t="s">
        <v>25</v>
      </c>
      <c r="L122" s="3">
        <v>1</v>
      </c>
      <c r="M122" s="4">
        <v>1</v>
      </c>
      <c r="N122" s="1">
        <v>2</v>
      </c>
      <c r="O122" s="22"/>
      <c r="P122" s="22"/>
    </row>
    <row r="123" spans="1:16" s="23" customFormat="1" ht="15.6" x14ac:dyDescent="0.25">
      <c r="A123" s="37"/>
      <c r="B123" s="129"/>
      <c r="C123" s="125"/>
      <c r="D123" s="202"/>
      <c r="E123" s="63" t="s">
        <v>138</v>
      </c>
      <c r="F123" s="261"/>
      <c r="G123" s="116" t="s">
        <v>25</v>
      </c>
      <c r="H123" s="2" t="s">
        <v>25</v>
      </c>
      <c r="I123" s="14" t="s">
        <v>25</v>
      </c>
      <c r="J123" s="1" t="s">
        <v>25</v>
      </c>
      <c r="K123" s="1" t="s">
        <v>25</v>
      </c>
      <c r="L123" s="3">
        <v>1</v>
      </c>
      <c r="M123" s="4">
        <v>1</v>
      </c>
      <c r="N123" s="1">
        <v>2</v>
      </c>
      <c r="O123" s="22"/>
      <c r="P123" s="22"/>
    </row>
    <row r="124" spans="1:16" s="23" customFormat="1" ht="15.6" x14ac:dyDescent="0.25">
      <c r="A124" s="37"/>
      <c r="B124" s="129"/>
      <c r="C124" s="125"/>
      <c r="D124" s="202"/>
      <c r="E124" s="63" t="s">
        <v>139</v>
      </c>
      <c r="F124" s="261"/>
      <c r="G124" s="116" t="s">
        <v>25</v>
      </c>
      <c r="H124" s="2" t="s">
        <v>25</v>
      </c>
      <c r="I124" s="14" t="s">
        <v>25</v>
      </c>
      <c r="J124" s="1" t="s">
        <v>25</v>
      </c>
      <c r="K124" s="1" t="s">
        <v>25</v>
      </c>
      <c r="L124" s="3">
        <v>1</v>
      </c>
      <c r="M124" s="4">
        <v>1</v>
      </c>
      <c r="N124" s="1">
        <v>2</v>
      </c>
      <c r="O124" s="22"/>
      <c r="P124" s="22"/>
    </row>
    <row r="125" spans="1:16" s="23" customFormat="1" ht="15.6" x14ac:dyDescent="0.25">
      <c r="A125" s="37"/>
      <c r="B125" s="129"/>
      <c r="C125" s="126"/>
      <c r="D125" s="202"/>
      <c r="E125" s="63" t="s">
        <v>140</v>
      </c>
      <c r="F125" s="262"/>
      <c r="G125" s="116" t="s">
        <v>25</v>
      </c>
      <c r="H125" s="2" t="s">
        <v>25</v>
      </c>
      <c r="I125" s="14" t="s">
        <v>25</v>
      </c>
      <c r="J125" s="1" t="s">
        <v>25</v>
      </c>
      <c r="K125" s="1" t="s">
        <v>25</v>
      </c>
      <c r="L125" s="3">
        <v>1</v>
      </c>
      <c r="M125" s="4">
        <v>1</v>
      </c>
      <c r="N125" s="1">
        <v>2</v>
      </c>
      <c r="O125" s="22"/>
      <c r="P125" s="22"/>
    </row>
    <row r="126" spans="1:16" s="23" customFormat="1" ht="31.2" x14ac:dyDescent="0.25">
      <c r="A126" s="37"/>
      <c r="B126" s="129"/>
      <c r="C126" s="46" t="s">
        <v>266</v>
      </c>
      <c r="D126" s="46" t="s">
        <v>141</v>
      </c>
      <c r="E126" s="41" t="s">
        <v>142</v>
      </c>
      <c r="G126" s="116">
        <v>1</v>
      </c>
      <c r="H126" s="10">
        <v>1</v>
      </c>
      <c r="I126" s="1">
        <v>1</v>
      </c>
      <c r="J126" s="1" t="s">
        <v>25</v>
      </c>
      <c r="K126" s="1" t="s">
        <v>25</v>
      </c>
      <c r="L126" s="60">
        <v>5</v>
      </c>
      <c r="M126" s="9">
        <v>5</v>
      </c>
      <c r="N126" s="1" t="s">
        <v>25</v>
      </c>
      <c r="O126" s="22"/>
      <c r="P126" s="22"/>
    </row>
    <row r="127" spans="1:16" s="23" customFormat="1" ht="15.6" x14ac:dyDescent="0.25">
      <c r="A127" s="37"/>
      <c r="B127" s="129"/>
      <c r="C127" s="125"/>
      <c r="D127" s="127" t="s">
        <v>255</v>
      </c>
      <c r="E127" s="11" t="s">
        <v>143</v>
      </c>
      <c r="F127" s="261"/>
      <c r="G127" s="116" t="s">
        <v>25</v>
      </c>
      <c r="H127" s="271" t="s">
        <v>25</v>
      </c>
      <c r="I127" s="1" t="s">
        <v>25</v>
      </c>
      <c r="J127" s="1" t="s">
        <v>25</v>
      </c>
      <c r="K127" s="1" t="s">
        <v>25</v>
      </c>
      <c r="L127" s="125">
        <v>2</v>
      </c>
      <c r="M127" s="141">
        <v>2</v>
      </c>
      <c r="N127" s="1">
        <v>2</v>
      </c>
      <c r="O127" s="22"/>
      <c r="P127" s="22"/>
    </row>
    <row r="128" spans="1:16" s="23" customFormat="1" ht="15.6" x14ac:dyDescent="0.25">
      <c r="A128" s="37"/>
      <c r="B128" s="129"/>
      <c r="C128" s="125"/>
      <c r="D128" s="127"/>
      <c r="E128" s="11" t="s">
        <v>144</v>
      </c>
      <c r="F128" s="261"/>
      <c r="G128" s="116" t="s">
        <v>25</v>
      </c>
      <c r="H128" s="271" t="s">
        <v>25</v>
      </c>
      <c r="I128" s="1" t="s">
        <v>25</v>
      </c>
      <c r="J128" s="1" t="s">
        <v>25</v>
      </c>
      <c r="K128" s="1" t="s">
        <v>25</v>
      </c>
      <c r="L128" s="126"/>
      <c r="M128" s="141"/>
      <c r="N128" s="12">
        <v>3</v>
      </c>
      <c r="O128" s="22"/>
      <c r="P128" s="22"/>
    </row>
    <row r="129" spans="1:16" s="23" customFormat="1" ht="15.6" x14ac:dyDescent="0.25">
      <c r="A129" s="37"/>
      <c r="B129" s="129"/>
      <c r="C129" s="125"/>
      <c r="D129" s="127" t="s">
        <v>145</v>
      </c>
      <c r="E129" s="11" t="s">
        <v>145</v>
      </c>
      <c r="F129" s="261"/>
      <c r="G129" s="116" t="s">
        <v>25</v>
      </c>
      <c r="H129" s="271" t="s">
        <v>25</v>
      </c>
      <c r="I129" s="1" t="s">
        <v>25</v>
      </c>
      <c r="J129" s="1" t="s">
        <v>25</v>
      </c>
      <c r="K129" s="1" t="s">
        <v>25</v>
      </c>
      <c r="L129" s="124">
        <v>2</v>
      </c>
      <c r="M129" s="141">
        <v>2</v>
      </c>
      <c r="N129" s="128">
        <v>4</v>
      </c>
      <c r="O129" s="22"/>
      <c r="P129" s="22"/>
    </row>
    <row r="130" spans="1:16" s="23" customFormat="1" ht="15.6" x14ac:dyDescent="0.25">
      <c r="A130" s="37"/>
      <c r="B130" s="129"/>
      <c r="C130" s="125"/>
      <c r="D130" s="127"/>
      <c r="E130" s="11" t="s">
        <v>146</v>
      </c>
      <c r="F130" s="261"/>
      <c r="G130" s="116" t="s">
        <v>25</v>
      </c>
      <c r="H130" s="271" t="s">
        <v>25</v>
      </c>
      <c r="I130" s="1" t="s">
        <v>25</v>
      </c>
      <c r="J130" s="1" t="s">
        <v>25</v>
      </c>
      <c r="K130" s="1" t="s">
        <v>25</v>
      </c>
      <c r="L130" s="126"/>
      <c r="M130" s="141"/>
      <c r="N130" s="130"/>
      <c r="O130" s="22"/>
      <c r="P130" s="22"/>
    </row>
    <row r="131" spans="1:16" s="23" customFormat="1" ht="15.6" x14ac:dyDescent="0.25">
      <c r="A131" s="37"/>
      <c r="B131" s="129"/>
      <c r="C131" s="125"/>
      <c r="D131" s="200" t="s">
        <v>59</v>
      </c>
      <c r="E131" s="174" t="s">
        <v>181</v>
      </c>
      <c r="F131" s="261"/>
      <c r="G131" s="116" t="s">
        <v>25</v>
      </c>
      <c r="H131" s="271" t="s">
        <v>25</v>
      </c>
      <c r="I131" s="1" t="s">
        <v>25</v>
      </c>
      <c r="J131" s="1" t="s">
        <v>25</v>
      </c>
      <c r="K131" s="1" t="s">
        <v>25</v>
      </c>
      <c r="L131" s="124">
        <v>2</v>
      </c>
      <c r="M131" s="134">
        <v>2</v>
      </c>
      <c r="N131" s="128">
        <v>4</v>
      </c>
      <c r="O131" s="22"/>
      <c r="P131" s="22"/>
    </row>
    <row r="132" spans="1:16" s="23" customFormat="1" ht="15.6" x14ac:dyDescent="0.25">
      <c r="A132" s="37"/>
      <c r="B132" s="129"/>
      <c r="C132" s="125"/>
      <c r="D132" s="178"/>
      <c r="E132" s="174"/>
      <c r="F132" s="261"/>
      <c r="G132" s="116" t="s">
        <v>25</v>
      </c>
      <c r="H132" s="271" t="s">
        <v>25</v>
      </c>
      <c r="I132" s="1" t="s">
        <v>25</v>
      </c>
      <c r="J132" s="1" t="s">
        <v>25</v>
      </c>
      <c r="K132" s="1" t="s">
        <v>25</v>
      </c>
      <c r="L132" s="125"/>
      <c r="M132" s="134"/>
      <c r="N132" s="129"/>
      <c r="O132" s="22"/>
      <c r="P132" s="22"/>
    </row>
    <row r="133" spans="1:16" s="23" customFormat="1" ht="15.6" x14ac:dyDescent="0.25">
      <c r="A133" s="37"/>
      <c r="B133" s="129"/>
      <c r="C133" s="125"/>
      <c r="D133" s="178"/>
      <c r="E133" s="174"/>
      <c r="F133" s="261"/>
      <c r="G133" s="116" t="s">
        <v>25</v>
      </c>
      <c r="H133" s="271" t="s">
        <v>25</v>
      </c>
      <c r="I133" s="1" t="s">
        <v>25</v>
      </c>
      <c r="J133" s="1" t="s">
        <v>25</v>
      </c>
      <c r="K133" s="1" t="s">
        <v>25</v>
      </c>
      <c r="L133" s="125"/>
      <c r="M133" s="134"/>
      <c r="N133" s="129"/>
      <c r="O133" s="22"/>
      <c r="P133" s="22"/>
    </row>
    <row r="134" spans="1:16" s="23" customFormat="1" ht="15.6" x14ac:dyDescent="0.25">
      <c r="A134" s="37"/>
      <c r="B134" s="129"/>
      <c r="C134" s="125"/>
      <c r="D134" s="178"/>
      <c r="E134" s="174"/>
      <c r="F134" s="261"/>
      <c r="G134" s="116" t="s">
        <v>25</v>
      </c>
      <c r="H134" s="271" t="s">
        <v>25</v>
      </c>
      <c r="I134" s="1" t="s">
        <v>25</v>
      </c>
      <c r="J134" s="1" t="s">
        <v>25</v>
      </c>
      <c r="K134" s="1" t="s">
        <v>25</v>
      </c>
      <c r="L134" s="126"/>
      <c r="M134" s="135"/>
      <c r="N134" s="130"/>
      <c r="O134" s="22"/>
      <c r="P134" s="22"/>
    </row>
    <row r="135" spans="1:16" s="23" customFormat="1" ht="15.6" x14ac:dyDescent="0.25">
      <c r="A135" s="37"/>
      <c r="B135" s="129"/>
      <c r="C135" s="125"/>
      <c r="D135" s="178"/>
      <c r="E135" s="174" t="s">
        <v>182</v>
      </c>
      <c r="F135" s="261"/>
      <c r="G135" s="116" t="s">
        <v>25</v>
      </c>
      <c r="H135" s="271" t="s">
        <v>25</v>
      </c>
      <c r="I135" s="1" t="s">
        <v>25</v>
      </c>
      <c r="J135" s="1" t="s">
        <v>25</v>
      </c>
      <c r="K135" s="1" t="s">
        <v>25</v>
      </c>
      <c r="L135" s="124">
        <v>1</v>
      </c>
      <c r="M135" s="134">
        <v>1</v>
      </c>
      <c r="N135" s="128">
        <v>3</v>
      </c>
      <c r="O135" s="22"/>
      <c r="P135" s="22"/>
    </row>
    <row r="136" spans="1:16" s="23" customFormat="1" ht="15.6" x14ac:dyDescent="0.25">
      <c r="A136" s="37"/>
      <c r="B136" s="129"/>
      <c r="C136" s="125"/>
      <c r="D136" s="178"/>
      <c r="E136" s="174"/>
      <c r="F136" s="261"/>
      <c r="G136" s="116" t="s">
        <v>25</v>
      </c>
      <c r="H136" s="271" t="s">
        <v>25</v>
      </c>
      <c r="I136" s="1" t="s">
        <v>25</v>
      </c>
      <c r="J136" s="1" t="s">
        <v>25</v>
      </c>
      <c r="K136" s="1" t="s">
        <v>25</v>
      </c>
      <c r="L136" s="126"/>
      <c r="M136" s="135"/>
      <c r="N136" s="130"/>
      <c r="O136" s="22"/>
      <c r="P136" s="22"/>
    </row>
    <row r="137" spans="1:16" s="23" customFormat="1" ht="15.6" x14ac:dyDescent="0.25">
      <c r="A137" s="37"/>
      <c r="B137" s="129"/>
      <c r="C137" s="125"/>
      <c r="D137" s="200" t="s">
        <v>147</v>
      </c>
      <c r="E137" s="11" t="s">
        <v>63</v>
      </c>
      <c r="F137" s="261"/>
      <c r="G137" s="116" t="s">
        <v>25</v>
      </c>
      <c r="H137" s="271" t="s">
        <v>25</v>
      </c>
      <c r="I137" s="1" t="s">
        <v>25</v>
      </c>
      <c r="J137" s="1" t="s">
        <v>25</v>
      </c>
      <c r="K137" s="1" t="s">
        <v>25</v>
      </c>
      <c r="L137" s="3">
        <v>2</v>
      </c>
      <c r="M137" s="4" t="s">
        <v>25</v>
      </c>
      <c r="N137" s="12">
        <v>3</v>
      </c>
      <c r="O137" s="22"/>
      <c r="P137" s="22"/>
    </row>
    <row r="138" spans="1:16" s="23" customFormat="1" ht="15.6" x14ac:dyDescent="0.25">
      <c r="A138" s="37"/>
      <c r="B138" s="129"/>
      <c r="C138" s="125"/>
      <c r="D138" s="178"/>
      <c r="E138" s="11" t="s">
        <v>148</v>
      </c>
      <c r="F138" s="261"/>
      <c r="G138" s="116" t="s">
        <v>25</v>
      </c>
      <c r="H138" s="271" t="s">
        <v>25</v>
      </c>
      <c r="I138" s="1" t="s">
        <v>25</v>
      </c>
      <c r="J138" s="1" t="s">
        <v>25</v>
      </c>
      <c r="K138" s="1" t="s">
        <v>25</v>
      </c>
      <c r="L138" s="3">
        <v>2</v>
      </c>
      <c r="M138" s="4">
        <v>2</v>
      </c>
      <c r="N138" s="13"/>
      <c r="O138" s="22"/>
      <c r="P138" s="22"/>
    </row>
    <row r="139" spans="1:16" s="23" customFormat="1" ht="15.6" x14ac:dyDescent="0.25">
      <c r="A139" s="37"/>
      <c r="B139" s="129"/>
      <c r="C139" s="125"/>
      <c r="D139" s="178"/>
      <c r="E139" s="11" t="s">
        <v>149</v>
      </c>
      <c r="F139" s="261"/>
      <c r="G139" s="116" t="s">
        <v>25</v>
      </c>
      <c r="H139" s="271" t="s">
        <v>25</v>
      </c>
      <c r="I139" s="1" t="s">
        <v>25</v>
      </c>
      <c r="J139" s="1" t="s">
        <v>25</v>
      </c>
      <c r="K139" s="1" t="s">
        <v>25</v>
      </c>
      <c r="L139" s="3">
        <v>2</v>
      </c>
      <c r="M139" s="4">
        <v>2</v>
      </c>
      <c r="N139" s="14">
        <v>3</v>
      </c>
      <c r="O139" s="22"/>
      <c r="P139" s="22"/>
    </row>
    <row r="140" spans="1:16" s="23" customFormat="1" ht="15.6" x14ac:dyDescent="0.25">
      <c r="A140" s="37"/>
      <c r="B140" s="129"/>
      <c r="C140" s="125"/>
      <c r="D140" s="178"/>
      <c r="E140" s="11" t="s">
        <v>150</v>
      </c>
      <c r="F140" s="261"/>
      <c r="G140" s="116" t="s">
        <v>25</v>
      </c>
      <c r="H140" s="271" t="s">
        <v>25</v>
      </c>
      <c r="I140" s="1" t="s">
        <v>25</v>
      </c>
      <c r="J140" s="1" t="s">
        <v>25</v>
      </c>
      <c r="K140" s="1" t="s">
        <v>25</v>
      </c>
      <c r="L140" s="3">
        <v>1</v>
      </c>
      <c r="M140" s="4">
        <v>1</v>
      </c>
      <c r="N140" s="12">
        <v>3</v>
      </c>
      <c r="O140" s="22"/>
      <c r="P140" s="22"/>
    </row>
    <row r="141" spans="1:16" s="23" customFormat="1" ht="15.6" x14ac:dyDescent="0.25">
      <c r="A141" s="37"/>
      <c r="B141" s="129"/>
      <c r="C141" s="125"/>
      <c r="D141" s="178"/>
      <c r="E141" s="11" t="s">
        <v>151</v>
      </c>
      <c r="F141" s="261"/>
      <c r="G141" s="116" t="s">
        <v>25</v>
      </c>
      <c r="H141" s="271" t="s">
        <v>25</v>
      </c>
      <c r="I141" s="1" t="s">
        <v>25</v>
      </c>
      <c r="J141" s="1" t="s">
        <v>25</v>
      </c>
      <c r="K141" s="1" t="s">
        <v>25</v>
      </c>
      <c r="L141" s="3">
        <v>1</v>
      </c>
      <c r="M141" s="4">
        <v>1</v>
      </c>
      <c r="N141" s="14"/>
      <c r="O141" s="22"/>
      <c r="P141" s="22"/>
    </row>
    <row r="142" spans="1:16" s="23" customFormat="1" ht="15.6" x14ac:dyDescent="0.25">
      <c r="A142" s="37"/>
      <c r="B142" s="129"/>
      <c r="C142" s="125"/>
      <c r="D142" s="178"/>
      <c r="E142" s="11" t="s">
        <v>152</v>
      </c>
      <c r="F142" s="261"/>
      <c r="G142" s="116" t="s">
        <v>25</v>
      </c>
      <c r="H142" s="271" t="s">
        <v>25</v>
      </c>
      <c r="I142" s="1" t="s">
        <v>25</v>
      </c>
      <c r="J142" s="1" t="s">
        <v>25</v>
      </c>
      <c r="K142" s="1" t="s">
        <v>25</v>
      </c>
      <c r="L142" s="3">
        <v>1</v>
      </c>
      <c r="M142" s="4">
        <v>1</v>
      </c>
      <c r="N142" s="1">
        <v>2</v>
      </c>
      <c r="O142" s="22"/>
      <c r="P142" s="22"/>
    </row>
    <row r="143" spans="1:16" s="23" customFormat="1" ht="15.6" x14ac:dyDescent="0.25">
      <c r="A143" s="37"/>
      <c r="B143" s="129"/>
      <c r="C143" s="125"/>
      <c r="D143" s="178"/>
      <c r="E143" s="65" t="s">
        <v>153</v>
      </c>
      <c r="F143" s="261"/>
      <c r="G143" s="116" t="s">
        <v>25</v>
      </c>
      <c r="H143" s="271" t="s">
        <v>25</v>
      </c>
      <c r="I143" s="1" t="s">
        <v>25</v>
      </c>
      <c r="J143" s="1" t="s">
        <v>25</v>
      </c>
      <c r="K143" s="1" t="s">
        <v>25</v>
      </c>
      <c r="L143" s="3">
        <v>2</v>
      </c>
      <c r="M143" s="4">
        <v>2</v>
      </c>
      <c r="N143" s="12">
        <v>2</v>
      </c>
      <c r="O143" s="22"/>
      <c r="P143" s="22"/>
    </row>
    <row r="144" spans="1:16" s="23" customFormat="1" ht="15.6" x14ac:dyDescent="0.25">
      <c r="A144" s="37"/>
      <c r="B144" s="129"/>
      <c r="C144" s="125"/>
      <c r="D144" s="178"/>
      <c r="E144" s="11" t="s">
        <v>154</v>
      </c>
      <c r="F144" s="261"/>
      <c r="G144" s="116" t="s">
        <v>25</v>
      </c>
      <c r="H144" s="271" t="s">
        <v>25</v>
      </c>
      <c r="I144" s="1" t="s">
        <v>25</v>
      </c>
      <c r="J144" s="1" t="s">
        <v>25</v>
      </c>
      <c r="K144" s="1" t="s">
        <v>25</v>
      </c>
      <c r="L144" s="3">
        <v>2</v>
      </c>
      <c r="M144" s="4">
        <v>2</v>
      </c>
      <c r="N144" s="12">
        <v>2</v>
      </c>
      <c r="O144" s="22"/>
      <c r="P144" s="22"/>
    </row>
    <row r="145" spans="1:16" s="23" customFormat="1" ht="15.6" x14ac:dyDescent="0.25">
      <c r="A145" s="37"/>
      <c r="B145" s="129"/>
      <c r="C145" s="125"/>
      <c r="D145" s="178"/>
      <c r="E145" s="11" t="s">
        <v>155</v>
      </c>
      <c r="F145" s="261"/>
      <c r="G145" s="116" t="s">
        <v>25</v>
      </c>
      <c r="H145" s="271" t="s">
        <v>25</v>
      </c>
      <c r="I145" s="1" t="s">
        <v>25</v>
      </c>
      <c r="J145" s="1" t="s">
        <v>25</v>
      </c>
      <c r="K145" s="1" t="s">
        <v>25</v>
      </c>
      <c r="L145" s="3">
        <v>2</v>
      </c>
      <c r="M145" s="4">
        <v>2</v>
      </c>
      <c r="N145" s="1">
        <v>1</v>
      </c>
      <c r="O145" s="22"/>
      <c r="P145" s="22"/>
    </row>
    <row r="146" spans="1:16" s="23" customFormat="1" ht="15.6" x14ac:dyDescent="0.25">
      <c r="A146" s="37"/>
      <c r="B146" s="129"/>
      <c r="C146" s="125"/>
      <c r="D146" s="178"/>
      <c r="E146" s="63" t="s">
        <v>156</v>
      </c>
      <c r="F146" s="261"/>
      <c r="G146" s="116" t="s">
        <v>25</v>
      </c>
      <c r="H146" s="271" t="s">
        <v>25</v>
      </c>
      <c r="I146" s="1" t="s">
        <v>25</v>
      </c>
      <c r="J146" s="1" t="s">
        <v>25</v>
      </c>
      <c r="K146" s="1" t="s">
        <v>25</v>
      </c>
      <c r="L146" s="3">
        <v>2</v>
      </c>
      <c r="M146" s="4">
        <v>2</v>
      </c>
      <c r="N146" s="1">
        <v>1</v>
      </c>
      <c r="O146" s="22"/>
      <c r="P146" s="22"/>
    </row>
    <row r="147" spans="1:16" s="23" customFormat="1" ht="15.6" x14ac:dyDescent="0.25">
      <c r="A147" s="37"/>
      <c r="B147" s="129"/>
      <c r="C147" s="125"/>
      <c r="D147" s="178"/>
      <c r="E147" s="66" t="s">
        <v>157</v>
      </c>
      <c r="F147" s="261"/>
      <c r="G147" s="116" t="s">
        <v>25</v>
      </c>
      <c r="H147" s="271" t="s">
        <v>25</v>
      </c>
      <c r="I147" s="1" t="s">
        <v>25</v>
      </c>
      <c r="J147" s="1" t="s">
        <v>25</v>
      </c>
      <c r="K147" s="1" t="s">
        <v>25</v>
      </c>
      <c r="L147" s="3">
        <v>2</v>
      </c>
      <c r="M147" s="4">
        <v>2</v>
      </c>
      <c r="N147" s="12">
        <v>1</v>
      </c>
      <c r="O147" s="22"/>
      <c r="P147" s="22"/>
    </row>
    <row r="148" spans="1:16" s="23" customFormat="1" ht="15.6" x14ac:dyDescent="0.25">
      <c r="A148" s="37"/>
      <c r="B148" s="129"/>
      <c r="C148" s="125"/>
      <c r="D148" s="178"/>
      <c r="E148" s="63" t="s">
        <v>158</v>
      </c>
      <c r="F148" s="261"/>
      <c r="G148" s="116" t="s">
        <v>25</v>
      </c>
      <c r="H148" s="271" t="s">
        <v>25</v>
      </c>
      <c r="I148" s="1" t="s">
        <v>25</v>
      </c>
      <c r="J148" s="1" t="s">
        <v>25</v>
      </c>
      <c r="K148" s="1" t="s">
        <v>25</v>
      </c>
      <c r="L148" s="3">
        <v>1</v>
      </c>
      <c r="M148" s="4">
        <v>1</v>
      </c>
      <c r="N148" s="128">
        <v>1</v>
      </c>
      <c r="O148" s="22"/>
      <c r="P148" s="22"/>
    </row>
    <row r="149" spans="1:16" s="23" customFormat="1" ht="15.6" x14ac:dyDescent="0.25">
      <c r="A149" s="37"/>
      <c r="B149" s="129"/>
      <c r="C149" s="125"/>
      <c r="D149" s="199"/>
      <c r="E149" s="63" t="s">
        <v>159</v>
      </c>
      <c r="F149" s="261"/>
      <c r="G149" s="116" t="s">
        <v>25</v>
      </c>
      <c r="H149" s="271" t="s">
        <v>25</v>
      </c>
      <c r="I149" s="1" t="s">
        <v>25</v>
      </c>
      <c r="J149" s="1" t="s">
        <v>25</v>
      </c>
      <c r="K149" s="1" t="s">
        <v>25</v>
      </c>
      <c r="L149" s="3">
        <v>1</v>
      </c>
      <c r="M149" s="4">
        <v>1</v>
      </c>
      <c r="N149" s="130"/>
      <c r="O149" s="22"/>
      <c r="P149" s="22"/>
    </row>
    <row r="150" spans="1:16" s="23" customFormat="1" ht="15.6" x14ac:dyDescent="0.25">
      <c r="A150" s="37"/>
      <c r="B150" s="129"/>
      <c r="C150" s="125"/>
      <c r="D150" s="127" t="s">
        <v>160</v>
      </c>
      <c r="E150" s="11" t="s">
        <v>161</v>
      </c>
      <c r="F150" s="261"/>
      <c r="G150" s="116" t="s">
        <v>25</v>
      </c>
      <c r="H150" s="271" t="s">
        <v>25</v>
      </c>
      <c r="I150" s="1" t="s">
        <v>25</v>
      </c>
      <c r="J150" s="1" t="s">
        <v>25</v>
      </c>
      <c r="K150" s="1" t="s">
        <v>25</v>
      </c>
      <c r="L150" s="124">
        <v>2</v>
      </c>
      <c r="M150" s="141">
        <v>2</v>
      </c>
      <c r="N150" s="128">
        <v>3</v>
      </c>
      <c r="O150" s="22"/>
      <c r="P150" s="22"/>
    </row>
    <row r="151" spans="1:16" s="23" customFormat="1" ht="15.6" x14ac:dyDescent="0.25">
      <c r="A151" s="37"/>
      <c r="B151" s="129"/>
      <c r="C151" s="125"/>
      <c r="D151" s="127"/>
      <c r="E151" s="11" t="s">
        <v>162</v>
      </c>
      <c r="F151" s="261"/>
      <c r="G151" s="116" t="s">
        <v>25</v>
      </c>
      <c r="H151" s="271" t="s">
        <v>25</v>
      </c>
      <c r="I151" s="1" t="s">
        <v>25</v>
      </c>
      <c r="J151" s="1" t="s">
        <v>25</v>
      </c>
      <c r="K151" s="1" t="s">
        <v>25</v>
      </c>
      <c r="L151" s="126"/>
      <c r="M151" s="141"/>
      <c r="N151" s="130"/>
      <c r="O151" s="22"/>
      <c r="P151" s="22"/>
    </row>
    <row r="152" spans="1:16" s="23" customFormat="1" ht="15.6" x14ac:dyDescent="0.25">
      <c r="A152" s="37"/>
      <c r="B152" s="129"/>
      <c r="C152" s="125"/>
      <c r="D152" s="127" t="s">
        <v>163</v>
      </c>
      <c r="E152" s="11" t="s">
        <v>80</v>
      </c>
      <c r="F152" s="261"/>
      <c r="G152" s="116" t="s">
        <v>25</v>
      </c>
      <c r="H152" s="271" t="s">
        <v>25</v>
      </c>
      <c r="I152" s="1" t="s">
        <v>25</v>
      </c>
      <c r="J152" s="1" t="s">
        <v>25</v>
      </c>
      <c r="K152" s="1" t="s">
        <v>25</v>
      </c>
      <c r="L152" s="124">
        <v>2</v>
      </c>
      <c r="M152" s="141">
        <v>2</v>
      </c>
      <c r="N152" s="128">
        <v>3</v>
      </c>
      <c r="O152" s="22"/>
      <c r="P152" s="22"/>
    </row>
    <row r="153" spans="1:16" s="23" customFormat="1" ht="15.6" x14ac:dyDescent="0.25">
      <c r="A153" s="37"/>
      <c r="B153" s="129"/>
      <c r="C153" s="125"/>
      <c r="D153" s="127"/>
      <c r="E153" s="11" t="s">
        <v>164</v>
      </c>
      <c r="F153" s="261"/>
      <c r="G153" s="116" t="s">
        <v>25</v>
      </c>
      <c r="H153" s="271" t="s">
        <v>25</v>
      </c>
      <c r="I153" s="1" t="s">
        <v>25</v>
      </c>
      <c r="J153" s="1" t="s">
        <v>25</v>
      </c>
      <c r="K153" s="1" t="s">
        <v>25</v>
      </c>
      <c r="L153" s="125"/>
      <c r="M153" s="141"/>
      <c r="N153" s="129"/>
      <c r="O153" s="22"/>
      <c r="P153" s="22"/>
    </row>
    <row r="154" spans="1:16" s="23" customFormat="1" ht="15.6" x14ac:dyDescent="0.25">
      <c r="A154" s="37"/>
      <c r="B154" s="129"/>
      <c r="C154" s="125"/>
      <c r="D154" s="127"/>
      <c r="E154" s="11" t="s">
        <v>165</v>
      </c>
      <c r="F154" s="261"/>
      <c r="G154" s="116" t="s">
        <v>25</v>
      </c>
      <c r="H154" s="271" t="s">
        <v>25</v>
      </c>
      <c r="I154" s="1" t="s">
        <v>25</v>
      </c>
      <c r="J154" s="1" t="s">
        <v>25</v>
      </c>
      <c r="K154" s="1" t="s">
        <v>25</v>
      </c>
      <c r="L154" s="125"/>
      <c r="M154" s="141"/>
      <c r="N154" s="129"/>
      <c r="O154" s="22"/>
      <c r="P154" s="22"/>
    </row>
    <row r="155" spans="1:16" s="23" customFormat="1" ht="15.6" x14ac:dyDescent="0.25">
      <c r="A155" s="37"/>
      <c r="B155" s="129"/>
      <c r="C155" s="125"/>
      <c r="D155" s="127"/>
      <c r="E155" s="11" t="s">
        <v>166</v>
      </c>
      <c r="F155" s="261"/>
      <c r="G155" s="116" t="s">
        <v>25</v>
      </c>
      <c r="H155" s="271" t="s">
        <v>25</v>
      </c>
      <c r="I155" s="1" t="s">
        <v>25</v>
      </c>
      <c r="J155" s="1" t="s">
        <v>25</v>
      </c>
      <c r="K155" s="1" t="s">
        <v>25</v>
      </c>
      <c r="L155" s="126"/>
      <c r="M155" s="141"/>
      <c r="N155" s="130"/>
      <c r="O155" s="22"/>
      <c r="P155" s="22"/>
    </row>
    <row r="156" spans="1:16" s="23" customFormat="1" ht="15.6" x14ac:dyDescent="0.25">
      <c r="A156" s="37"/>
      <c r="B156" s="129"/>
      <c r="C156" s="125"/>
      <c r="D156" s="127" t="s">
        <v>167</v>
      </c>
      <c r="E156" s="11" t="s">
        <v>168</v>
      </c>
      <c r="F156" s="261"/>
      <c r="G156" s="116" t="s">
        <v>25</v>
      </c>
      <c r="H156" s="271" t="s">
        <v>25</v>
      </c>
      <c r="I156" s="1" t="s">
        <v>25</v>
      </c>
      <c r="J156" s="1" t="s">
        <v>25</v>
      </c>
      <c r="K156" s="1" t="s">
        <v>25</v>
      </c>
      <c r="L156" s="124">
        <v>2</v>
      </c>
      <c r="M156" s="141">
        <v>2</v>
      </c>
      <c r="N156" s="128">
        <v>3</v>
      </c>
      <c r="O156" s="22"/>
      <c r="P156" s="22"/>
    </row>
    <row r="157" spans="1:16" s="23" customFormat="1" ht="15.6" x14ac:dyDescent="0.25">
      <c r="A157" s="37"/>
      <c r="B157" s="129"/>
      <c r="C157" s="125"/>
      <c r="D157" s="127"/>
      <c r="E157" s="11" t="s">
        <v>169</v>
      </c>
      <c r="F157" s="261"/>
      <c r="G157" s="116" t="s">
        <v>25</v>
      </c>
      <c r="H157" s="271" t="s">
        <v>25</v>
      </c>
      <c r="I157" s="1" t="s">
        <v>25</v>
      </c>
      <c r="J157" s="1" t="s">
        <v>25</v>
      </c>
      <c r="K157" s="1" t="s">
        <v>25</v>
      </c>
      <c r="L157" s="125"/>
      <c r="M157" s="141"/>
      <c r="N157" s="129"/>
      <c r="O157" s="22"/>
      <c r="P157" s="22"/>
    </row>
    <row r="158" spans="1:16" s="23" customFormat="1" ht="15.6" x14ac:dyDescent="0.25">
      <c r="A158" s="37"/>
      <c r="B158" s="129"/>
      <c r="C158" s="125"/>
      <c r="D158" s="127"/>
      <c r="E158" s="11" t="s">
        <v>170</v>
      </c>
      <c r="F158" s="261"/>
      <c r="G158" s="116" t="s">
        <v>25</v>
      </c>
      <c r="H158" s="271" t="s">
        <v>25</v>
      </c>
      <c r="I158" s="1" t="s">
        <v>25</v>
      </c>
      <c r="J158" s="1" t="s">
        <v>25</v>
      </c>
      <c r="K158" s="1" t="s">
        <v>25</v>
      </c>
      <c r="L158" s="126"/>
      <c r="M158" s="141"/>
      <c r="N158" s="130"/>
      <c r="O158" s="22"/>
      <c r="P158" s="22"/>
    </row>
    <row r="159" spans="1:16" s="23" customFormat="1" ht="15.6" x14ac:dyDescent="0.25">
      <c r="A159" s="37"/>
      <c r="B159" s="129"/>
      <c r="C159" s="125"/>
      <c r="D159" s="127" t="s">
        <v>171</v>
      </c>
      <c r="E159" s="11" t="s">
        <v>81</v>
      </c>
      <c r="F159" s="261"/>
      <c r="G159" s="116" t="s">
        <v>25</v>
      </c>
      <c r="H159" s="271" t="s">
        <v>25</v>
      </c>
      <c r="I159" s="1" t="s">
        <v>25</v>
      </c>
      <c r="J159" s="1" t="s">
        <v>25</v>
      </c>
      <c r="K159" s="1" t="s">
        <v>25</v>
      </c>
      <c r="L159" s="124">
        <v>2</v>
      </c>
      <c r="M159" s="141">
        <v>2</v>
      </c>
      <c r="N159" s="128">
        <v>3</v>
      </c>
      <c r="O159" s="22"/>
      <c r="P159" s="22"/>
    </row>
    <row r="160" spans="1:16" s="23" customFormat="1" ht="15.6" x14ac:dyDescent="0.25">
      <c r="A160" s="37"/>
      <c r="B160" s="129"/>
      <c r="C160" s="125"/>
      <c r="D160" s="127"/>
      <c r="E160" s="11" t="s">
        <v>172</v>
      </c>
      <c r="F160" s="261"/>
      <c r="G160" s="116" t="s">
        <v>25</v>
      </c>
      <c r="H160" s="271" t="s">
        <v>25</v>
      </c>
      <c r="I160" s="1" t="s">
        <v>25</v>
      </c>
      <c r="J160" s="1" t="s">
        <v>25</v>
      </c>
      <c r="K160" s="1" t="s">
        <v>25</v>
      </c>
      <c r="L160" s="125"/>
      <c r="M160" s="141"/>
      <c r="N160" s="129"/>
      <c r="O160" s="22"/>
      <c r="P160" s="22"/>
    </row>
    <row r="161" spans="1:16" s="23" customFormat="1" ht="15.6" x14ac:dyDescent="0.25">
      <c r="A161" s="37"/>
      <c r="B161" s="129"/>
      <c r="C161" s="125"/>
      <c r="D161" s="127"/>
      <c r="E161" s="11" t="s">
        <v>173</v>
      </c>
      <c r="F161" s="261"/>
      <c r="G161" s="116" t="s">
        <v>25</v>
      </c>
      <c r="H161" s="271" t="s">
        <v>25</v>
      </c>
      <c r="I161" s="1" t="s">
        <v>25</v>
      </c>
      <c r="J161" s="1" t="s">
        <v>25</v>
      </c>
      <c r="K161" s="1" t="s">
        <v>25</v>
      </c>
      <c r="L161" s="125"/>
      <c r="M161" s="141"/>
      <c r="N161" s="129"/>
      <c r="O161" s="22"/>
      <c r="P161" s="22"/>
    </row>
    <row r="162" spans="1:16" s="23" customFormat="1" ht="15.6" x14ac:dyDescent="0.25">
      <c r="A162" s="37"/>
      <c r="B162" s="129"/>
      <c r="C162" s="125"/>
      <c r="D162" s="127"/>
      <c r="E162" s="11" t="s">
        <v>174</v>
      </c>
      <c r="F162" s="261"/>
      <c r="G162" s="116" t="s">
        <v>25</v>
      </c>
      <c r="H162" s="271" t="s">
        <v>25</v>
      </c>
      <c r="I162" s="1" t="s">
        <v>25</v>
      </c>
      <c r="J162" s="1" t="s">
        <v>25</v>
      </c>
      <c r="K162" s="1" t="s">
        <v>25</v>
      </c>
      <c r="L162" s="126"/>
      <c r="M162" s="141"/>
      <c r="N162" s="130"/>
      <c r="O162" s="22"/>
      <c r="P162" s="22"/>
    </row>
    <row r="163" spans="1:16" s="23" customFormat="1" ht="15.6" x14ac:dyDescent="0.25">
      <c r="A163" s="37"/>
      <c r="B163" s="129"/>
      <c r="C163" s="125"/>
      <c r="D163" s="127" t="s">
        <v>175</v>
      </c>
      <c r="E163" s="11" t="s">
        <v>176</v>
      </c>
      <c r="F163" s="261"/>
      <c r="G163" s="116" t="s">
        <v>25</v>
      </c>
      <c r="H163" s="271" t="s">
        <v>25</v>
      </c>
      <c r="I163" s="1" t="s">
        <v>25</v>
      </c>
      <c r="J163" s="1" t="s">
        <v>25</v>
      </c>
      <c r="K163" s="1" t="s">
        <v>25</v>
      </c>
      <c r="L163" s="124">
        <v>2</v>
      </c>
      <c r="M163" s="141">
        <v>2</v>
      </c>
      <c r="N163" s="128">
        <v>3</v>
      </c>
      <c r="O163" s="22"/>
      <c r="P163" s="22"/>
    </row>
    <row r="164" spans="1:16" s="23" customFormat="1" ht="15.6" x14ac:dyDescent="0.25">
      <c r="A164" s="37"/>
      <c r="B164" s="129"/>
      <c r="C164" s="125"/>
      <c r="D164" s="127"/>
      <c r="E164" s="11" t="s">
        <v>177</v>
      </c>
      <c r="F164" s="261"/>
      <c r="G164" s="116" t="s">
        <v>25</v>
      </c>
      <c r="H164" s="271" t="s">
        <v>25</v>
      </c>
      <c r="I164" s="1" t="s">
        <v>25</v>
      </c>
      <c r="J164" s="1" t="s">
        <v>25</v>
      </c>
      <c r="K164" s="1" t="s">
        <v>25</v>
      </c>
      <c r="L164" s="125"/>
      <c r="M164" s="141"/>
      <c r="N164" s="129"/>
      <c r="O164" s="22"/>
      <c r="P164" s="22"/>
    </row>
    <row r="165" spans="1:16" s="23" customFormat="1" ht="15.6" x14ac:dyDescent="0.25">
      <c r="A165" s="37"/>
      <c r="B165" s="129"/>
      <c r="C165" s="125"/>
      <c r="D165" s="127"/>
      <c r="E165" s="11" t="s">
        <v>178</v>
      </c>
      <c r="F165" s="261"/>
      <c r="G165" s="116" t="s">
        <v>25</v>
      </c>
      <c r="H165" s="271" t="s">
        <v>25</v>
      </c>
      <c r="I165" s="1" t="s">
        <v>25</v>
      </c>
      <c r="J165" s="1" t="s">
        <v>25</v>
      </c>
      <c r="K165" s="1" t="s">
        <v>25</v>
      </c>
      <c r="L165" s="125"/>
      <c r="M165" s="141"/>
      <c r="N165" s="129"/>
      <c r="O165" s="22"/>
      <c r="P165" s="22"/>
    </row>
    <row r="166" spans="1:16" s="23" customFormat="1" ht="15.6" x14ac:dyDescent="0.25">
      <c r="A166" s="37"/>
      <c r="B166" s="129"/>
      <c r="C166" s="125"/>
      <c r="D166" s="127"/>
      <c r="E166" s="11" t="s">
        <v>256</v>
      </c>
      <c r="F166" s="261"/>
      <c r="G166" s="116" t="s">
        <v>25</v>
      </c>
      <c r="H166" s="271" t="s">
        <v>25</v>
      </c>
      <c r="I166" s="1" t="s">
        <v>25</v>
      </c>
      <c r="J166" s="1" t="s">
        <v>25</v>
      </c>
      <c r="K166" s="1" t="s">
        <v>25</v>
      </c>
      <c r="L166" s="125"/>
      <c r="M166" s="141"/>
      <c r="N166" s="129"/>
      <c r="O166" s="22"/>
      <c r="P166" s="22"/>
    </row>
    <row r="167" spans="1:16" s="23" customFormat="1" ht="15.6" x14ac:dyDescent="0.25">
      <c r="A167" s="37"/>
      <c r="B167" s="129"/>
      <c r="C167" s="125"/>
      <c r="D167" s="127"/>
      <c r="E167" s="11" t="s">
        <v>179</v>
      </c>
      <c r="F167" s="261"/>
      <c r="G167" s="116" t="s">
        <v>25</v>
      </c>
      <c r="H167" s="271" t="s">
        <v>25</v>
      </c>
      <c r="I167" s="1" t="s">
        <v>25</v>
      </c>
      <c r="J167" s="1" t="s">
        <v>25</v>
      </c>
      <c r="K167" s="1" t="s">
        <v>25</v>
      </c>
      <c r="L167" s="126"/>
      <c r="M167" s="141"/>
      <c r="N167" s="130"/>
      <c r="O167" s="22"/>
      <c r="P167" s="22"/>
    </row>
    <row r="168" spans="1:16" ht="15.6" x14ac:dyDescent="0.25">
      <c r="A168" s="37"/>
      <c r="B168" s="129"/>
      <c r="C168" s="125"/>
      <c r="D168" s="200" t="s">
        <v>145</v>
      </c>
      <c r="E168" s="174" t="s">
        <v>145</v>
      </c>
      <c r="F168" s="261"/>
      <c r="G168" s="8" t="s">
        <v>25</v>
      </c>
      <c r="H168" s="272" t="s">
        <v>25</v>
      </c>
      <c r="I168" s="8" t="s">
        <v>25</v>
      </c>
      <c r="J168" s="8" t="s">
        <v>25</v>
      </c>
      <c r="K168" s="8" t="s">
        <v>25</v>
      </c>
      <c r="L168" s="67">
        <v>2</v>
      </c>
      <c r="M168" s="15">
        <v>3</v>
      </c>
      <c r="N168" s="128">
        <v>5</v>
      </c>
      <c r="O168" s="22"/>
      <c r="P168" s="22"/>
    </row>
    <row r="169" spans="1:16" ht="15.6" x14ac:dyDescent="0.25">
      <c r="A169" s="37"/>
      <c r="B169" s="129"/>
      <c r="C169" s="125"/>
      <c r="D169" s="178"/>
      <c r="E169" s="174"/>
      <c r="F169" s="261"/>
      <c r="G169" s="8">
        <v>2</v>
      </c>
      <c r="H169" s="68">
        <v>4</v>
      </c>
      <c r="I169" s="8">
        <v>1</v>
      </c>
      <c r="J169" s="8" t="s">
        <v>25</v>
      </c>
      <c r="K169" s="8" t="s">
        <v>25</v>
      </c>
      <c r="L169" s="3">
        <v>2</v>
      </c>
      <c r="M169" s="15">
        <v>1</v>
      </c>
      <c r="N169" s="129"/>
      <c r="O169" s="22"/>
      <c r="P169" s="22"/>
    </row>
    <row r="170" spans="1:16" ht="15.6" x14ac:dyDescent="0.25">
      <c r="A170" s="37"/>
      <c r="B170" s="129"/>
      <c r="C170" s="125"/>
      <c r="D170" s="178"/>
      <c r="E170" s="11" t="s">
        <v>180</v>
      </c>
      <c r="F170" s="261"/>
      <c r="G170" s="8" t="s">
        <v>25</v>
      </c>
      <c r="H170" s="272" t="s">
        <v>25</v>
      </c>
      <c r="I170" s="8" t="s">
        <v>25</v>
      </c>
      <c r="J170" s="8" t="s">
        <v>25</v>
      </c>
      <c r="K170" s="8" t="s">
        <v>25</v>
      </c>
      <c r="L170" s="3">
        <v>3</v>
      </c>
      <c r="M170" s="15">
        <v>1</v>
      </c>
      <c r="N170" s="129"/>
      <c r="O170" s="22"/>
      <c r="P170" s="22"/>
    </row>
    <row r="171" spans="1:16" ht="15.6" x14ac:dyDescent="0.25">
      <c r="A171" s="37"/>
      <c r="B171" s="129"/>
      <c r="C171" s="125"/>
      <c r="D171" s="199"/>
      <c r="E171" s="11" t="s">
        <v>146</v>
      </c>
      <c r="F171" s="261"/>
      <c r="G171" s="8" t="s">
        <v>25</v>
      </c>
      <c r="H171" s="272" t="s">
        <v>25</v>
      </c>
      <c r="I171" s="8" t="s">
        <v>25</v>
      </c>
      <c r="J171" s="8" t="s">
        <v>25</v>
      </c>
      <c r="K171" s="8" t="s">
        <v>25</v>
      </c>
      <c r="L171" s="3">
        <v>1</v>
      </c>
      <c r="M171" s="15">
        <v>1</v>
      </c>
      <c r="N171" s="130"/>
      <c r="O171" s="22"/>
      <c r="P171" s="22"/>
    </row>
    <row r="172" spans="1:16" ht="15.6" x14ac:dyDescent="0.25">
      <c r="A172" s="37"/>
      <c r="B172" s="129"/>
      <c r="C172" s="125"/>
      <c r="D172" s="200" t="s">
        <v>257</v>
      </c>
      <c r="E172" s="58" t="s">
        <v>258</v>
      </c>
      <c r="F172" s="261"/>
      <c r="G172" s="8" t="s">
        <v>25</v>
      </c>
      <c r="H172" s="272" t="s">
        <v>25</v>
      </c>
      <c r="I172" s="8" t="s">
        <v>25</v>
      </c>
      <c r="J172" s="8" t="s">
        <v>25</v>
      </c>
      <c r="K172" s="8" t="s">
        <v>25</v>
      </c>
      <c r="L172" s="124">
        <v>2</v>
      </c>
      <c r="M172" s="141">
        <v>1</v>
      </c>
      <c r="N172" s="128">
        <v>1</v>
      </c>
      <c r="O172" s="22"/>
      <c r="P172" s="22"/>
    </row>
    <row r="173" spans="1:16" ht="15.6" x14ac:dyDescent="0.25">
      <c r="A173" s="37"/>
      <c r="B173" s="129"/>
      <c r="C173" s="125"/>
      <c r="D173" s="199"/>
      <c r="E173" s="58" t="s">
        <v>259</v>
      </c>
      <c r="F173" s="261"/>
      <c r="G173" s="8" t="s">
        <v>25</v>
      </c>
      <c r="H173" s="272" t="s">
        <v>25</v>
      </c>
      <c r="I173" s="8" t="s">
        <v>25</v>
      </c>
      <c r="J173" s="8" t="s">
        <v>25</v>
      </c>
      <c r="K173" s="8" t="s">
        <v>25</v>
      </c>
      <c r="L173" s="126"/>
      <c r="M173" s="141"/>
      <c r="N173" s="130"/>
      <c r="O173" s="22"/>
      <c r="P173" s="22"/>
    </row>
    <row r="174" spans="1:16" ht="15.6" x14ac:dyDescent="0.25">
      <c r="A174" s="37"/>
      <c r="B174" s="129"/>
      <c r="C174" s="125"/>
      <c r="D174" s="127" t="s">
        <v>73</v>
      </c>
      <c r="E174" s="11" t="s">
        <v>74</v>
      </c>
      <c r="F174" s="261"/>
      <c r="G174" s="8" t="s">
        <v>25</v>
      </c>
      <c r="H174" s="272" t="s">
        <v>25</v>
      </c>
      <c r="I174" s="8" t="s">
        <v>25</v>
      </c>
      <c r="J174" s="8" t="s">
        <v>25</v>
      </c>
      <c r="K174" s="8" t="s">
        <v>25</v>
      </c>
      <c r="L174" s="124">
        <v>3</v>
      </c>
      <c r="M174" s="134">
        <v>2</v>
      </c>
      <c r="N174" s="128">
        <v>2</v>
      </c>
      <c r="O174" s="22"/>
      <c r="P174" s="22"/>
    </row>
    <row r="175" spans="1:16" ht="15.6" x14ac:dyDescent="0.25">
      <c r="A175" s="37"/>
      <c r="B175" s="129"/>
      <c r="C175" s="125"/>
      <c r="D175" s="127"/>
      <c r="E175" s="11" t="s">
        <v>75</v>
      </c>
      <c r="F175" s="261"/>
      <c r="G175" s="8" t="s">
        <v>25</v>
      </c>
      <c r="H175" s="272" t="s">
        <v>25</v>
      </c>
      <c r="I175" s="8" t="s">
        <v>25</v>
      </c>
      <c r="J175" s="8" t="s">
        <v>25</v>
      </c>
      <c r="K175" s="8" t="s">
        <v>25</v>
      </c>
      <c r="L175" s="125"/>
      <c r="M175" s="134"/>
      <c r="N175" s="129"/>
      <c r="O175" s="22"/>
      <c r="P175" s="22"/>
    </row>
    <row r="176" spans="1:16" ht="15.6" x14ac:dyDescent="0.25">
      <c r="A176" s="37"/>
      <c r="B176" s="129"/>
      <c r="C176" s="125"/>
      <c r="D176" s="127"/>
      <c r="E176" s="11" t="s">
        <v>76</v>
      </c>
      <c r="F176" s="261"/>
      <c r="G176" s="8" t="s">
        <v>25</v>
      </c>
      <c r="H176" s="272" t="s">
        <v>25</v>
      </c>
      <c r="I176" s="8" t="s">
        <v>25</v>
      </c>
      <c r="J176" s="8" t="s">
        <v>25</v>
      </c>
      <c r="K176" s="8" t="s">
        <v>25</v>
      </c>
      <c r="L176" s="125"/>
      <c r="M176" s="134"/>
      <c r="N176" s="129"/>
      <c r="O176" s="22"/>
      <c r="P176" s="22"/>
    </row>
    <row r="177" spans="1:16" ht="15.6" x14ac:dyDescent="0.25">
      <c r="A177" s="37"/>
      <c r="B177" s="129"/>
      <c r="C177" s="125"/>
      <c r="D177" s="127" t="s">
        <v>77</v>
      </c>
      <c r="E177" s="11" t="s">
        <v>78</v>
      </c>
      <c r="F177" s="261"/>
      <c r="G177" s="8" t="s">
        <v>25</v>
      </c>
      <c r="H177" s="272" t="s">
        <v>25</v>
      </c>
      <c r="I177" s="8" t="s">
        <v>25</v>
      </c>
      <c r="J177" s="8" t="s">
        <v>25</v>
      </c>
      <c r="K177" s="8" t="s">
        <v>25</v>
      </c>
      <c r="L177" s="125"/>
      <c r="M177" s="134"/>
      <c r="N177" s="129"/>
      <c r="O177" s="22"/>
      <c r="P177" s="22"/>
    </row>
    <row r="178" spans="1:16" ht="15.6" x14ac:dyDescent="0.25">
      <c r="A178" s="37"/>
      <c r="B178" s="129"/>
      <c r="C178" s="125"/>
      <c r="D178" s="127"/>
      <c r="E178" s="11" t="s">
        <v>79</v>
      </c>
      <c r="F178" s="261"/>
      <c r="G178" s="8" t="s">
        <v>25</v>
      </c>
      <c r="H178" s="272" t="s">
        <v>25</v>
      </c>
      <c r="I178" s="8" t="s">
        <v>25</v>
      </c>
      <c r="J178" s="8" t="s">
        <v>25</v>
      </c>
      <c r="K178" s="8" t="s">
        <v>25</v>
      </c>
      <c r="L178" s="126"/>
      <c r="M178" s="135"/>
      <c r="N178" s="130"/>
      <c r="O178" s="22"/>
      <c r="P178" s="22"/>
    </row>
    <row r="179" spans="1:16" ht="15.6" x14ac:dyDescent="0.25">
      <c r="A179" s="37"/>
      <c r="B179" s="129"/>
      <c r="C179" s="125"/>
      <c r="D179" s="127"/>
      <c r="E179" s="65" t="s">
        <v>246</v>
      </c>
      <c r="F179" s="262"/>
      <c r="G179" s="8" t="s">
        <v>25</v>
      </c>
      <c r="H179" s="272" t="s">
        <v>25</v>
      </c>
      <c r="I179" s="8" t="s">
        <v>25</v>
      </c>
      <c r="J179" s="8" t="s">
        <v>25</v>
      </c>
      <c r="K179" s="8" t="s">
        <v>25</v>
      </c>
      <c r="L179" s="3">
        <v>2</v>
      </c>
      <c r="M179" s="4">
        <v>2</v>
      </c>
      <c r="N179" s="12">
        <v>2</v>
      </c>
      <c r="O179" s="22"/>
      <c r="P179" s="22"/>
    </row>
    <row r="180" spans="1:16" ht="15.6" x14ac:dyDescent="0.25">
      <c r="A180" s="37"/>
      <c r="B180" s="129"/>
      <c r="C180" s="126"/>
      <c r="D180" s="46" t="s">
        <v>183</v>
      </c>
      <c r="E180" s="41" t="s">
        <v>88</v>
      </c>
      <c r="F180" s="69"/>
      <c r="G180" s="8" t="s">
        <v>25</v>
      </c>
      <c r="H180" s="272" t="s">
        <v>25</v>
      </c>
      <c r="I180" s="8" t="s">
        <v>25</v>
      </c>
      <c r="J180" s="8">
        <v>3</v>
      </c>
      <c r="K180" s="8">
        <v>3</v>
      </c>
      <c r="L180" s="17">
        <v>1</v>
      </c>
      <c r="M180" s="16">
        <v>7</v>
      </c>
      <c r="N180" s="1"/>
      <c r="O180" s="22"/>
      <c r="P180" s="22"/>
    </row>
    <row r="181" spans="1:16" ht="15.6" x14ac:dyDescent="0.25">
      <c r="A181" s="37"/>
      <c r="B181" s="129"/>
      <c r="C181" s="189" t="s">
        <v>184</v>
      </c>
      <c r="D181" s="46" t="s">
        <v>90</v>
      </c>
      <c r="E181" s="41" t="s">
        <v>185</v>
      </c>
      <c r="F181" s="69"/>
      <c r="G181" s="8" t="s">
        <v>25</v>
      </c>
      <c r="H181" s="272" t="s">
        <v>25</v>
      </c>
      <c r="I181" s="8" t="s">
        <v>25</v>
      </c>
      <c r="J181" s="8" t="s">
        <v>25</v>
      </c>
      <c r="K181" s="8" t="s">
        <v>25</v>
      </c>
      <c r="L181" s="8">
        <v>3</v>
      </c>
      <c r="M181" s="16">
        <v>1</v>
      </c>
      <c r="N181" s="1"/>
      <c r="O181" s="22"/>
      <c r="P181" s="22"/>
    </row>
    <row r="182" spans="1:16" ht="15.6" x14ac:dyDescent="0.25">
      <c r="A182" s="37"/>
      <c r="B182" s="129"/>
      <c r="C182" s="190"/>
      <c r="D182" s="160" t="s">
        <v>27</v>
      </c>
      <c r="E182" s="35" t="s">
        <v>186</v>
      </c>
      <c r="F182" s="31"/>
      <c r="G182" s="116" t="s">
        <v>25</v>
      </c>
      <c r="H182" s="271" t="s">
        <v>25</v>
      </c>
      <c r="I182" s="1" t="s">
        <v>25</v>
      </c>
      <c r="J182" s="1" t="s">
        <v>25</v>
      </c>
      <c r="K182" s="1" t="s">
        <v>25</v>
      </c>
      <c r="L182" s="1">
        <v>2</v>
      </c>
      <c r="M182" s="7">
        <v>1</v>
      </c>
      <c r="N182" s="128">
        <v>4</v>
      </c>
      <c r="O182" s="22"/>
      <c r="P182" s="22"/>
    </row>
    <row r="183" spans="1:16" ht="15.6" x14ac:dyDescent="0.25">
      <c r="A183" s="37"/>
      <c r="B183" s="129"/>
      <c r="C183" s="190"/>
      <c r="D183" s="161"/>
      <c r="E183" s="35" t="s">
        <v>187</v>
      </c>
      <c r="F183" s="31"/>
      <c r="G183" s="116" t="s">
        <v>25</v>
      </c>
      <c r="H183" s="271" t="s">
        <v>25</v>
      </c>
      <c r="I183" s="1" t="s">
        <v>25</v>
      </c>
      <c r="J183" s="1" t="s">
        <v>25</v>
      </c>
      <c r="K183" s="1" t="s">
        <v>25</v>
      </c>
      <c r="L183" s="1">
        <v>2</v>
      </c>
      <c r="M183" s="7">
        <v>1</v>
      </c>
      <c r="N183" s="129"/>
      <c r="O183" s="22"/>
      <c r="P183" s="22"/>
    </row>
    <row r="184" spans="1:16" ht="15.6" x14ac:dyDescent="0.25">
      <c r="A184" s="37"/>
      <c r="B184" s="129"/>
      <c r="C184" s="190"/>
      <c r="D184" s="161"/>
      <c r="E184" s="35" t="s">
        <v>188</v>
      </c>
      <c r="F184" s="31"/>
      <c r="G184" s="116" t="s">
        <v>25</v>
      </c>
      <c r="H184" s="271" t="s">
        <v>25</v>
      </c>
      <c r="I184" s="1" t="s">
        <v>25</v>
      </c>
      <c r="J184" s="1" t="s">
        <v>25</v>
      </c>
      <c r="K184" s="1" t="s">
        <v>25</v>
      </c>
      <c r="L184" s="1">
        <v>2</v>
      </c>
      <c r="M184" s="7">
        <v>1</v>
      </c>
      <c r="N184" s="129"/>
      <c r="O184" s="22"/>
      <c r="P184" s="22"/>
    </row>
    <row r="185" spans="1:16" ht="15.6" x14ac:dyDescent="0.25">
      <c r="A185" s="37"/>
      <c r="B185" s="129"/>
      <c r="C185" s="190"/>
      <c r="D185" s="161"/>
      <c r="E185" s="35" t="s">
        <v>189</v>
      </c>
      <c r="F185" s="31"/>
      <c r="G185" s="116" t="s">
        <v>25</v>
      </c>
      <c r="H185" s="271" t="s">
        <v>25</v>
      </c>
      <c r="I185" s="1" t="s">
        <v>25</v>
      </c>
      <c r="J185" s="1" t="s">
        <v>25</v>
      </c>
      <c r="K185" s="1" t="s">
        <v>25</v>
      </c>
      <c r="L185" s="1">
        <v>2</v>
      </c>
      <c r="M185" s="7">
        <v>0.5</v>
      </c>
      <c r="N185" s="129"/>
      <c r="O185" s="22"/>
      <c r="P185" s="22"/>
    </row>
    <row r="186" spans="1:16" ht="15.6" x14ac:dyDescent="0.25">
      <c r="A186" s="37"/>
      <c r="B186" s="129"/>
      <c r="C186" s="190"/>
      <c r="D186" s="161"/>
      <c r="E186" s="35" t="s">
        <v>190</v>
      </c>
      <c r="F186" s="31"/>
      <c r="G186" s="116" t="s">
        <v>25</v>
      </c>
      <c r="H186" s="271" t="s">
        <v>25</v>
      </c>
      <c r="I186" s="1" t="s">
        <v>25</v>
      </c>
      <c r="J186" s="1" t="s">
        <v>25</v>
      </c>
      <c r="K186" s="1" t="s">
        <v>25</v>
      </c>
      <c r="L186" s="1">
        <v>2</v>
      </c>
      <c r="M186" s="7">
        <v>0.5</v>
      </c>
      <c r="N186" s="129"/>
      <c r="O186" s="22"/>
      <c r="P186" s="22"/>
    </row>
    <row r="187" spans="1:16" ht="15.6" x14ac:dyDescent="0.25">
      <c r="A187" s="37"/>
      <c r="B187" s="129"/>
      <c r="C187" s="190"/>
      <c r="D187" s="161"/>
      <c r="E187" s="35" t="s">
        <v>191</v>
      </c>
      <c r="F187" s="31"/>
      <c r="G187" s="116" t="s">
        <v>25</v>
      </c>
      <c r="H187" s="271" t="s">
        <v>25</v>
      </c>
      <c r="I187" s="1" t="s">
        <v>25</v>
      </c>
      <c r="J187" s="1" t="s">
        <v>25</v>
      </c>
      <c r="K187" s="1" t="s">
        <v>25</v>
      </c>
      <c r="L187" s="1">
        <v>2</v>
      </c>
      <c r="M187" s="7">
        <v>0.5</v>
      </c>
      <c r="N187" s="129"/>
      <c r="O187" s="22"/>
      <c r="P187" s="22"/>
    </row>
    <row r="188" spans="1:16" ht="15.6" x14ac:dyDescent="0.25">
      <c r="A188" s="37"/>
      <c r="B188" s="129"/>
      <c r="C188" s="190"/>
      <c r="D188" s="161"/>
      <c r="E188" s="35" t="s">
        <v>192</v>
      </c>
      <c r="F188" s="31"/>
      <c r="G188" s="116" t="s">
        <v>25</v>
      </c>
      <c r="H188" s="271" t="s">
        <v>25</v>
      </c>
      <c r="I188" s="1" t="s">
        <v>25</v>
      </c>
      <c r="J188" s="1" t="s">
        <v>25</v>
      </c>
      <c r="K188" s="1" t="s">
        <v>25</v>
      </c>
      <c r="L188" s="1">
        <v>2</v>
      </c>
      <c r="M188" s="7">
        <v>0.5</v>
      </c>
      <c r="N188" s="129"/>
      <c r="O188" s="22"/>
      <c r="P188" s="22"/>
    </row>
    <row r="189" spans="1:16" ht="15.6" x14ac:dyDescent="0.25">
      <c r="A189" s="37"/>
      <c r="B189" s="129"/>
      <c r="C189" s="190"/>
      <c r="D189" s="161"/>
      <c r="E189" s="35" t="s">
        <v>193</v>
      </c>
      <c r="F189" s="31"/>
      <c r="G189" s="116" t="s">
        <v>25</v>
      </c>
      <c r="H189" s="271" t="s">
        <v>25</v>
      </c>
      <c r="I189" s="1" t="s">
        <v>25</v>
      </c>
      <c r="J189" s="1" t="s">
        <v>25</v>
      </c>
      <c r="K189" s="1" t="s">
        <v>25</v>
      </c>
      <c r="L189" s="1">
        <v>2</v>
      </c>
      <c r="M189" s="7">
        <v>2</v>
      </c>
      <c r="N189" s="129"/>
      <c r="O189" s="22"/>
      <c r="P189" s="22"/>
    </row>
    <row r="190" spans="1:16" ht="15.6" x14ac:dyDescent="0.25">
      <c r="A190" s="37"/>
      <c r="B190" s="129"/>
      <c r="C190" s="190"/>
      <c r="D190" s="161"/>
      <c r="E190" s="35" t="s">
        <v>194</v>
      </c>
      <c r="F190" s="31"/>
      <c r="G190" s="116" t="s">
        <v>25</v>
      </c>
      <c r="H190" s="271" t="s">
        <v>25</v>
      </c>
      <c r="I190" s="1" t="s">
        <v>25</v>
      </c>
      <c r="J190" s="1" t="s">
        <v>25</v>
      </c>
      <c r="K190" s="1" t="s">
        <v>25</v>
      </c>
      <c r="L190" s="1">
        <v>2</v>
      </c>
      <c r="M190" s="7">
        <v>2</v>
      </c>
      <c r="N190" s="129"/>
      <c r="O190" s="22"/>
      <c r="P190" s="22"/>
    </row>
    <row r="191" spans="1:16" ht="15.6" x14ac:dyDescent="0.25">
      <c r="A191" s="37"/>
      <c r="B191" s="129"/>
      <c r="C191" s="190"/>
      <c r="D191" s="161"/>
      <c r="E191" s="35" t="s">
        <v>195</v>
      </c>
      <c r="F191" s="31"/>
      <c r="G191" s="116" t="s">
        <v>25</v>
      </c>
      <c r="H191" s="271" t="s">
        <v>25</v>
      </c>
      <c r="I191" s="1" t="s">
        <v>25</v>
      </c>
      <c r="J191" s="1" t="s">
        <v>25</v>
      </c>
      <c r="K191" s="1" t="s">
        <v>25</v>
      </c>
      <c r="L191" s="1">
        <v>2</v>
      </c>
      <c r="M191" s="7">
        <v>1</v>
      </c>
      <c r="N191" s="129"/>
      <c r="O191" s="22"/>
      <c r="P191" s="22"/>
    </row>
    <row r="192" spans="1:16" ht="15.6" x14ac:dyDescent="0.25">
      <c r="A192" s="37"/>
      <c r="B192" s="129"/>
      <c r="C192" s="190"/>
      <c r="D192" s="161"/>
      <c r="E192" s="35" t="s">
        <v>196</v>
      </c>
      <c r="F192" s="31"/>
      <c r="G192" s="116" t="s">
        <v>25</v>
      </c>
      <c r="H192" s="271" t="s">
        <v>25</v>
      </c>
      <c r="I192" s="1" t="s">
        <v>25</v>
      </c>
      <c r="J192" s="1" t="s">
        <v>25</v>
      </c>
      <c r="K192" s="1" t="s">
        <v>25</v>
      </c>
      <c r="L192" s="1">
        <v>2</v>
      </c>
      <c r="M192" s="7">
        <v>1</v>
      </c>
      <c r="N192" s="129"/>
      <c r="O192" s="22"/>
      <c r="P192" s="22"/>
    </row>
    <row r="193" spans="1:16" ht="15.6" x14ac:dyDescent="0.25">
      <c r="A193" s="37"/>
      <c r="B193" s="129"/>
      <c r="C193" s="190"/>
      <c r="D193" s="161"/>
      <c r="E193" s="35" t="s">
        <v>197</v>
      </c>
      <c r="F193" s="31"/>
      <c r="G193" s="116" t="s">
        <v>25</v>
      </c>
      <c r="H193" s="271" t="s">
        <v>25</v>
      </c>
      <c r="I193" s="1" t="s">
        <v>25</v>
      </c>
      <c r="J193" s="1" t="s">
        <v>25</v>
      </c>
      <c r="K193" s="1" t="s">
        <v>25</v>
      </c>
      <c r="L193" s="1">
        <v>2</v>
      </c>
      <c r="M193" s="7">
        <v>2</v>
      </c>
      <c r="N193" s="129"/>
      <c r="O193" s="22"/>
      <c r="P193" s="22"/>
    </row>
    <row r="194" spans="1:16" ht="15.6" x14ac:dyDescent="0.25">
      <c r="A194" s="37"/>
      <c r="B194" s="129"/>
      <c r="C194" s="190"/>
      <c r="D194" s="161"/>
      <c r="E194" s="35" t="s">
        <v>198</v>
      </c>
      <c r="F194" s="31"/>
      <c r="G194" s="116" t="s">
        <v>25</v>
      </c>
      <c r="H194" s="271" t="s">
        <v>25</v>
      </c>
      <c r="I194" s="1" t="s">
        <v>25</v>
      </c>
      <c r="J194" s="1" t="s">
        <v>25</v>
      </c>
      <c r="K194" s="1" t="s">
        <v>25</v>
      </c>
      <c r="L194" s="1">
        <v>2</v>
      </c>
      <c r="M194" s="7">
        <v>1</v>
      </c>
      <c r="N194" s="129"/>
      <c r="O194" s="22"/>
      <c r="P194" s="22"/>
    </row>
    <row r="195" spans="1:16" ht="15.6" x14ac:dyDescent="0.25">
      <c r="A195" s="37"/>
      <c r="B195" s="129"/>
      <c r="C195" s="191"/>
      <c r="D195" s="165"/>
      <c r="E195" s="35" t="s">
        <v>199</v>
      </c>
      <c r="F195" s="31"/>
      <c r="G195" s="116" t="s">
        <v>25</v>
      </c>
      <c r="H195" s="271" t="s">
        <v>25</v>
      </c>
      <c r="I195" s="1" t="s">
        <v>25</v>
      </c>
      <c r="J195" s="1" t="s">
        <v>25</v>
      </c>
      <c r="K195" s="1" t="s">
        <v>25</v>
      </c>
      <c r="L195" s="1">
        <v>2</v>
      </c>
      <c r="M195" s="7">
        <v>1</v>
      </c>
      <c r="N195" s="130"/>
      <c r="O195" s="22"/>
      <c r="P195" s="22"/>
    </row>
    <row r="196" spans="1:16" ht="15.6" x14ac:dyDescent="0.25">
      <c r="A196" s="37"/>
      <c r="B196" s="129"/>
      <c r="C196" s="192" t="s">
        <v>200</v>
      </c>
      <c r="D196" s="70" t="s">
        <v>201</v>
      </c>
      <c r="E196" s="71" t="s">
        <v>202</v>
      </c>
      <c r="F196" s="31"/>
      <c r="G196" s="116">
        <v>2</v>
      </c>
      <c r="H196" s="10" t="s">
        <v>25</v>
      </c>
      <c r="I196" s="1">
        <v>1</v>
      </c>
      <c r="J196" s="1" t="s">
        <v>25</v>
      </c>
      <c r="K196" s="1" t="s">
        <v>25</v>
      </c>
      <c r="L196" s="1">
        <v>4</v>
      </c>
      <c r="M196" s="1">
        <v>5</v>
      </c>
      <c r="N196" s="1" t="s">
        <v>25</v>
      </c>
      <c r="O196" s="22"/>
      <c r="P196" s="22"/>
    </row>
    <row r="197" spans="1:16" ht="15.6" x14ac:dyDescent="0.25">
      <c r="A197" s="37"/>
      <c r="B197" s="129"/>
      <c r="C197" s="193"/>
      <c r="D197" s="166" t="s">
        <v>203</v>
      </c>
      <c r="E197" s="175" t="s">
        <v>204</v>
      </c>
      <c r="F197" s="31"/>
      <c r="G197" s="116" t="s">
        <v>25</v>
      </c>
      <c r="H197" s="10" t="s">
        <v>25</v>
      </c>
      <c r="I197" s="1" t="s">
        <v>25</v>
      </c>
      <c r="J197" s="1" t="s">
        <v>25</v>
      </c>
      <c r="K197" s="1" t="s">
        <v>25</v>
      </c>
      <c r="L197" s="1" t="s">
        <v>25</v>
      </c>
      <c r="M197" s="1" t="s">
        <v>25</v>
      </c>
      <c r="N197" s="128">
        <v>4</v>
      </c>
      <c r="O197" s="22"/>
      <c r="P197" s="22"/>
    </row>
    <row r="198" spans="1:16" ht="15.6" x14ac:dyDescent="0.25">
      <c r="A198" s="37"/>
      <c r="B198" s="129"/>
      <c r="C198" s="193"/>
      <c r="D198" s="166"/>
      <c r="E198" s="175"/>
      <c r="F198" s="31"/>
      <c r="G198" s="116" t="s">
        <v>25</v>
      </c>
      <c r="H198" s="10" t="s">
        <v>25</v>
      </c>
      <c r="I198" s="1" t="s">
        <v>25</v>
      </c>
      <c r="J198" s="1" t="s">
        <v>25</v>
      </c>
      <c r="K198" s="1" t="s">
        <v>25</v>
      </c>
      <c r="L198" s="1" t="s">
        <v>25</v>
      </c>
      <c r="M198" s="1" t="s">
        <v>25</v>
      </c>
      <c r="N198" s="129"/>
      <c r="O198" s="22"/>
      <c r="P198" s="22"/>
    </row>
    <row r="199" spans="1:16" ht="15.6" x14ac:dyDescent="0.25">
      <c r="A199" s="37"/>
      <c r="B199" s="129"/>
      <c r="C199" s="193"/>
      <c r="D199" s="166"/>
      <c r="E199" s="175"/>
      <c r="F199" s="31"/>
      <c r="G199" s="116" t="s">
        <v>25</v>
      </c>
      <c r="H199" s="10" t="s">
        <v>25</v>
      </c>
      <c r="I199" s="1" t="s">
        <v>25</v>
      </c>
      <c r="J199" s="1" t="s">
        <v>25</v>
      </c>
      <c r="K199" s="1" t="s">
        <v>25</v>
      </c>
      <c r="L199" s="1" t="s">
        <v>25</v>
      </c>
      <c r="M199" s="1" t="s">
        <v>25</v>
      </c>
      <c r="N199" s="129"/>
      <c r="O199" s="22"/>
      <c r="P199" s="22"/>
    </row>
    <row r="200" spans="1:16" ht="15.6" x14ac:dyDescent="0.25">
      <c r="A200" s="37"/>
      <c r="B200" s="129"/>
      <c r="C200" s="193"/>
      <c r="D200" s="166"/>
      <c r="E200" s="72" t="s">
        <v>205</v>
      </c>
      <c r="F200" s="31"/>
      <c r="G200" s="116" t="s">
        <v>25</v>
      </c>
      <c r="H200" s="10" t="s">
        <v>25</v>
      </c>
      <c r="I200" s="1" t="s">
        <v>25</v>
      </c>
      <c r="J200" s="1" t="s">
        <v>25</v>
      </c>
      <c r="K200" s="1" t="s">
        <v>25</v>
      </c>
      <c r="L200" s="1" t="s">
        <v>25</v>
      </c>
      <c r="M200" s="1" t="s">
        <v>25</v>
      </c>
      <c r="N200" s="129"/>
      <c r="O200" s="22"/>
      <c r="P200" s="22"/>
    </row>
    <row r="201" spans="1:16" ht="15.6" x14ac:dyDescent="0.25">
      <c r="A201" s="37"/>
      <c r="B201" s="129"/>
      <c r="C201" s="193"/>
      <c r="D201" s="166"/>
      <c r="E201" s="72" t="s">
        <v>206</v>
      </c>
      <c r="F201" s="31"/>
      <c r="G201" s="116" t="s">
        <v>25</v>
      </c>
      <c r="H201" s="10" t="s">
        <v>25</v>
      </c>
      <c r="I201" s="1" t="s">
        <v>25</v>
      </c>
      <c r="J201" s="1" t="s">
        <v>25</v>
      </c>
      <c r="K201" s="1" t="s">
        <v>25</v>
      </c>
      <c r="L201" s="1" t="s">
        <v>25</v>
      </c>
      <c r="M201" s="1" t="s">
        <v>25</v>
      </c>
      <c r="N201" s="129"/>
      <c r="O201" s="22"/>
      <c r="P201" s="22"/>
    </row>
    <row r="202" spans="1:16" ht="15.6" x14ac:dyDescent="0.25">
      <c r="A202" s="37"/>
      <c r="B202" s="129"/>
      <c r="C202" s="193"/>
      <c r="D202" s="166"/>
      <c r="E202" s="72" t="s">
        <v>207</v>
      </c>
      <c r="F202" s="31"/>
      <c r="G202" s="116" t="s">
        <v>25</v>
      </c>
      <c r="H202" s="10" t="s">
        <v>25</v>
      </c>
      <c r="I202" s="1" t="s">
        <v>25</v>
      </c>
      <c r="J202" s="1" t="s">
        <v>25</v>
      </c>
      <c r="K202" s="1" t="s">
        <v>25</v>
      </c>
      <c r="L202" s="1" t="s">
        <v>25</v>
      </c>
      <c r="M202" s="1" t="s">
        <v>25</v>
      </c>
      <c r="N202" s="129"/>
      <c r="O202" s="22"/>
      <c r="P202" s="22"/>
    </row>
    <row r="203" spans="1:16" ht="15.6" x14ac:dyDescent="0.25">
      <c r="A203" s="37"/>
      <c r="B203" s="129"/>
      <c r="C203" s="193"/>
      <c r="D203" s="166"/>
      <c r="E203" s="72" t="s">
        <v>208</v>
      </c>
      <c r="F203" s="31"/>
      <c r="G203" s="116" t="s">
        <v>25</v>
      </c>
      <c r="H203" s="10" t="s">
        <v>25</v>
      </c>
      <c r="I203" s="1" t="s">
        <v>25</v>
      </c>
      <c r="J203" s="1" t="s">
        <v>25</v>
      </c>
      <c r="K203" s="1" t="s">
        <v>25</v>
      </c>
      <c r="L203" s="1">
        <v>2</v>
      </c>
      <c r="M203" s="1">
        <v>2</v>
      </c>
      <c r="N203" s="129"/>
      <c r="O203" s="22"/>
      <c r="P203" s="22"/>
    </row>
    <row r="204" spans="1:16" ht="15.6" x14ac:dyDescent="0.25">
      <c r="A204" s="37"/>
      <c r="B204" s="129"/>
      <c r="C204" s="193"/>
      <c r="D204" s="166"/>
      <c r="E204" s="72" t="s">
        <v>209</v>
      </c>
      <c r="F204" s="31"/>
      <c r="G204" s="116" t="s">
        <v>25</v>
      </c>
      <c r="H204" s="10" t="s">
        <v>25</v>
      </c>
      <c r="I204" s="1" t="s">
        <v>25</v>
      </c>
      <c r="J204" s="1" t="s">
        <v>25</v>
      </c>
      <c r="K204" s="1" t="s">
        <v>25</v>
      </c>
      <c r="L204" s="1" t="s">
        <v>25</v>
      </c>
      <c r="M204" s="1" t="s">
        <v>25</v>
      </c>
      <c r="N204" s="129"/>
      <c r="O204" s="22"/>
      <c r="P204" s="22"/>
    </row>
    <row r="205" spans="1:16" ht="15.6" x14ac:dyDescent="0.25">
      <c r="A205" s="37"/>
      <c r="B205" s="129"/>
      <c r="C205" s="193"/>
      <c r="D205" s="166"/>
      <c r="E205" s="72" t="s">
        <v>210</v>
      </c>
      <c r="F205" s="31"/>
      <c r="G205" s="116" t="s">
        <v>25</v>
      </c>
      <c r="H205" s="10" t="s">
        <v>25</v>
      </c>
      <c r="I205" s="1" t="s">
        <v>25</v>
      </c>
      <c r="J205" s="1" t="s">
        <v>25</v>
      </c>
      <c r="K205" s="1" t="s">
        <v>25</v>
      </c>
      <c r="L205" s="1" t="s">
        <v>25</v>
      </c>
      <c r="M205" s="1" t="s">
        <v>25</v>
      </c>
      <c r="N205" s="129"/>
      <c r="O205" s="22"/>
      <c r="P205" s="22"/>
    </row>
    <row r="206" spans="1:16" ht="15.6" x14ac:dyDescent="0.25">
      <c r="A206" s="37"/>
      <c r="B206" s="129"/>
      <c r="C206" s="193"/>
      <c r="D206" s="166"/>
      <c r="E206" s="72" t="s">
        <v>211</v>
      </c>
      <c r="F206" s="31"/>
      <c r="G206" s="116" t="s">
        <v>25</v>
      </c>
      <c r="H206" s="10" t="s">
        <v>25</v>
      </c>
      <c r="I206" s="1" t="s">
        <v>25</v>
      </c>
      <c r="J206" s="1" t="s">
        <v>25</v>
      </c>
      <c r="K206" s="1" t="s">
        <v>25</v>
      </c>
      <c r="L206" s="1" t="s">
        <v>25</v>
      </c>
      <c r="M206" s="1" t="s">
        <v>25</v>
      </c>
      <c r="N206" s="129"/>
      <c r="O206" s="22"/>
      <c r="P206" s="22"/>
    </row>
    <row r="207" spans="1:16" ht="15.6" x14ac:dyDescent="0.25">
      <c r="A207" s="37"/>
      <c r="B207" s="129"/>
      <c r="C207" s="193"/>
      <c r="D207" s="166"/>
      <c r="E207" s="175" t="s">
        <v>212</v>
      </c>
      <c r="F207" s="31"/>
      <c r="G207" s="116" t="s">
        <v>25</v>
      </c>
      <c r="H207" s="10" t="s">
        <v>25</v>
      </c>
      <c r="I207" s="1" t="s">
        <v>25</v>
      </c>
      <c r="J207" s="1" t="s">
        <v>25</v>
      </c>
      <c r="K207" s="1" t="s">
        <v>25</v>
      </c>
      <c r="L207" s="1" t="s">
        <v>25</v>
      </c>
      <c r="M207" s="1" t="s">
        <v>25</v>
      </c>
      <c r="N207" s="129"/>
      <c r="O207" s="22"/>
      <c r="P207" s="22"/>
    </row>
    <row r="208" spans="1:16" ht="15.6" x14ac:dyDescent="0.25">
      <c r="A208" s="37"/>
      <c r="B208" s="129"/>
      <c r="C208" s="193"/>
      <c r="D208" s="166"/>
      <c r="E208" s="175"/>
      <c r="F208" s="31"/>
      <c r="G208" s="116" t="s">
        <v>25</v>
      </c>
      <c r="H208" s="10" t="s">
        <v>25</v>
      </c>
      <c r="I208" s="1" t="s">
        <v>25</v>
      </c>
      <c r="J208" s="1" t="s">
        <v>25</v>
      </c>
      <c r="K208" s="1" t="s">
        <v>25</v>
      </c>
      <c r="L208" s="1" t="s">
        <v>25</v>
      </c>
      <c r="M208" s="1" t="s">
        <v>25</v>
      </c>
      <c r="N208" s="129"/>
      <c r="O208" s="22"/>
      <c r="P208" s="22"/>
    </row>
    <row r="209" spans="1:16" ht="15.6" x14ac:dyDescent="0.25">
      <c r="A209" s="37"/>
      <c r="B209" s="129"/>
      <c r="C209" s="193"/>
      <c r="D209" s="166"/>
      <c r="E209" s="175" t="s">
        <v>213</v>
      </c>
      <c r="F209" s="31"/>
      <c r="G209" s="116" t="s">
        <v>25</v>
      </c>
      <c r="H209" s="10" t="s">
        <v>25</v>
      </c>
      <c r="I209" s="1" t="s">
        <v>25</v>
      </c>
      <c r="J209" s="1" t="s">
        <v>25</v>
      </c>
      <c r="K209" s="1" t="s">
        <v>25</v>
      </c>
      <c r="L209" s="1">
        <v>2</v>
      </c>
      <c r="M209" s="1">
        <v>2</v>
      </c>
      <c r="N209" s="129"/>
      <c r="O209" s="22"/>
      <c r="P209" s="22"/>
    </row>
    <row r="210" spans="1:16" ht="15.6" x14ac:dyDescent="0.25">
      <c r="A210" s="37"/>
      <c r="B210" s="129"/>
      <c r="C210" s="193"/>
      <c r="D210" s="166"/>
      <c r="E210" s="175"/>
      <c r="F210" s="31"/>
      <c r="G210" s="116" t="s">
        <v>25</v>
      </c>
      <c r="H210" s="10" t="s">
        <v>25</v>
      </c>
      <c r="I210" s="1" t="s">
        <v>25</v>
      </c>
      <c r="J210" s="1" t="s">
        <v>25</v>
      </c>
      <c r="K210" s="1" t="s">
        <v>25</v>
      </c>
      <c r="L210" s="1" t="s">
        <v>25</v>
      </c>
      <c r="M210" s="1" t="s">
        <v>25</v>
      </c>
      <c r="N210" s="129"/>
      <c r="O210" s="22"/>
      <c r="P210" s="22"/>
    </row>
    <row r="211" spans="1:16" ht="15.6" x14ac:dyDescent="0.25">
      <c r="A211" s="37"/>
      <c r="B211" s="129"/>
      <c r="C211" s="193"/>
      <c r="D211" s="166"/>
      <c r="E211" s="175" t="s">
        <v>214</v>
      </c>
      <c r="F211" s="31"/>
      <c r="G211" s="116" t="s">
        <v>25</v>
      </c>
      <c r="H211" s="10" t="s">
        <v>25</v>
      </c>
      <c r="I211" s="1" t="s">
        <v>25</v>
      </c>
      <c r="J211" s="1" t="s">
        <v>25</v>
      </c>
      <c r="K211" s="1" t="s">
        <v>25</v>
      </c>
      <c r="L211" s="1" t="s">
        <v>25</v>
      </c>
      <c r="M211" s="1" t="s">
        <v>25</v>
      </c>
      <c r="N211" s="129"/>
      <c r="O211" s="22"/>
      <c r="P211" s="22"/>
    </row>
    <row r="212" spans="1:16" ht="15.6" x14ac:dyDescent="0.25">
      <c r="A212" s="37"/>
      <c r="B212" s="129"/>
      <c r="C212" s="193"/>
      <c r="D212" s="166"/>
      <c r="E212" s="175"/>
      <c r="F212" s="31"/>
      <c r="G212" s="116" t="s">
        <v>25</v>
      </c>
      <c r="H212" s="10" t="s">
        <v>25</v>
      </c>
      <c r="I212" s="1" t="s">
        <v>25</v>
      </c>
      <c r="J212" s="1" t="s">
        <v>25</v>
      </c>
      <c r="K212" s="1" t="s">
        <v>25</v>
      </c>
      <c r="L212" s="1" t="s">
        <v>25</v>
      </c>
      <c r="M212" s="1" t="s">
        <v>25</v>
      </c>
      <c r="N212" s="129"/>
      <c r="O212" s="22"/>
      <c r="P212" s="22"/>
    </row>
    <row r="213" spans="1:16" ht="15.6" x14ac:dyDescent="0.25">
      <c r="A213" s="37"/>
      <c r="B213" s="129"/>
      <c r="C213" s="193"/>
      <c r="D213" s="166"/>
      <c r="E213" s="175"/>
      <c r="F213" s="31"/>
      <c r="G213" s="116" t="s">
        <v>25</v>
      </c>
      <c r="H213" s="10" t="s">
        <v>25</v>
      </c>
      <c r="I213" s="1" t="s">
        <v>25</v>
      </c>
      <c r="J213" s="1" t="s">
        <v>25</v>
      </c>
      <c r="K213" s="1" t="s">
        <v>25</v>
      </c>
      <c r="L213" s="1" t="s">
        <v>25</v>
      </c>
      <c r="M213" s="1" t="s">
        <v>25</v>
      </c>
      <c r="N213" s="129"/>
      <c r="O213" s="22"/>
      <c r="P213" s="22"/>
    </row>
    <row r="214" spans="1:16" ht="15.6" x14ac:dyDescent="0.25">
      <c r="A214" s="37"/>
      <c r="B214" s="129"/>
      <c r="C214" s="193"/>
      <c r="D214" s="166"/>
      <c r="E214" s="175"/>
      <c r="F214" s="31"/>
      <c r="G214" s="116" t="s">
        <v>25</v>
      </c>
      <c r="H214" s="10" t="s">
        <v>25</v>
      </c>
      <c r="I214" s="1" t="s">
        <v>25</v>
      </c>
      <c r="J214" s="1" t="s">
        <v>25</v>
      </c>
      <c r="K214" s="1" t="s">
        <v>25</v>
      </c>
      <c r="L214" s="1" t="s">
        <v>25</v>
      </c>
      <c r="M214" s="1" t="s">
        <v>25</v>
      </c>
      <c r="N214" s="129"/>
      <c r="O214" s="22"/>
      <c r="P214" s="22"/>
    </row>
    <row r="215" spans="1:16" ht="15.6" x14ac:dyDescent="0.25">
      <c r="A215" s="37"/>
      <c r="B215" s="129"/>
      <c r="C215" s="193"/>
      <c r="D215" s="166"/>
      <c r="E215" s="72" t="s">
        <v>215</v>
      </c>
      <c r="F215" s="31"/>
      <c r="G215" s="116" t="s">
        <v>25</v>
      </c>
      <c r="H215" s="10" t="s">
        <v>25</v>
      </c>
      <c r="I215" s="1" t="s">
        <v>25</v>
      </c>
      <c r="J215" s="1" t="s">
        <v>25</v>
      </c>
      <c r="K215" s="1" t="s">
        <v>25</v>
      </c>
      <c r="L215" s="1" t="s">
        <v>25</v>
      </c>
      <c r="M215" s="1" t="s">
        <v>25</v>
      </c>
      <c r="N215" s="130"/>
      <c r="O215" s="22"/>
      <c r="P215" s="22"/>
    </row>
    <row r="216" spans="1:16" ht="15.6" x14ac:dyDescent="0.25">
      <c r="A216" s="37"/>
      <c r="B216" s="129"/>
      <c r="C216" s="193"/>
      <c r="D216" s="166" t="s">
        <v>216</v>
      </c>
      <c r="E216" s="72" t="s">
        <v>208</v>
      </c>
      <c r="F216" s="31"/>
      <c r="G216" s="116" t="s">
        <v>25</v>
      </c>
      <c r="H216" s="10" t="s">
        <v>25</v>
      </c>
      <c r="I216" s="1" t="s">
        <v>25</v>
      </c>
      <c r="J216" s="1" t="s">
        <v>25</v>
      </c>
      <c r="K216" s="1" t="s">
        <v>25</v>
      </c>
      <c r="L216" s="1">
        <v>2</v>
      </c>
      <c r="M216" s="1">
        <v>2</v>
      </c>
      <c r="N216" s="128">
        <v>3</v>
      </c>
      <c r="O216" s="22"/>
      <c r="P216" s="22"/>
    </row>
    <row r="217" spans="1:16" ht="15.6" x14ac:dyDescent="0.25">
      <c r="A217" s="37"/>
      <c r="B217" s="129"/>
      <c r="C217" s="193"/>
      <c r="D217" s="166"/>
      <c r="E217" s="72" t="s">
        <v>217</v>
      </c>
      <c r="F217" s="31"/>
      <c r="G217" s="116" t="s">
        <v>25</v>
      </c>
      <c r="H217" s="10" t="s">
        <v>25</v>
      </c>
      <c r="I217" s="1" t="s">
        <v>25</v>
      </c>
      <c r="J217" s="1" t="s">
        <v>25</v>
      </c>
      <c r="K217" s="1" t="s">
        <v>25</v>
      </c>
      <c r="L217" s="1" t="s">
        <v>25</v>
      </c>
      <c r="M217" s="1" t="s">
        <v>25</v>
      </c>
      <c r="N217" s="129"/>
      <c r="O217" s="22"/>
      <c r="P217" s="22"/>
    </row>
    <row r="218" spans="1:16" ht="15.6" x14ac:dyDescent="0.25">
      <c r="A218" s="37"/>
      <c r="B218" s="129"/>
      <c r="C218" s="193"/>
      <c r="D218" s="166"/>
      <c r="E218" s="72" t="s">
        <v>218</v>
      </c>
      <c r="F218" s="31"/>
      <c r="G218" s="116" t="s">
        <v>25</v>
      </c>
      <c r="H218" s="10" t="s">
        <v>25</v>
      </c>
      <c r="I218" s="1" t="s">
        <v>25</v>
      </c>
      <c r="J218" s="1" t="s">
        <v>25</v>
      </c>
      <c r="K218" s="1" t="s">
        <v>25</v>
      </c>
      <c r="L218" s="1" t="s">
        <v>25</v>
      </c>
      <c r="M218" s="1" t="s">
        <v>25</v>
      </c>
      <c r="N218" s="129"/>
      <c r="O218" s="22"/>
      <c r="P218" s="22"/>
    </row>
    <row r="219" spans="1:16" ht="15.6" x14ac:dyDescent="0.25">
      <c r="A219" s="37"/>
      <c r="B219" s="129"/>
      <c r="C219" s="193"/>
      <c r="D219" s="166"/>
      <c r="E219" s="72" t="s">
        <v>219</v>
      </c>
      <c r="F219" s="31"/>
      <c r="G219" s="116" t="s">
        <v>25</v>
      </c>
      <c r="H219" s="10" t="s">
        <v>25</v>
      </c>
      <c r="I219" s="1" t="s">
        <v>25</v>
      </c>
      <c r="J219" s="1" t="s">
        <v>25</v>
      </c>
      <c r="K219" s="1" t="s">
        <v>25</v>
      </c>
      <c r="L219" s="1" t="s">
        <v>25</v>
      </c>
      <c r="M219" s="1" t="s">
        <v>25</v>
      </c>
      <c r="N219" s="129"/>
      <c r="O219" s="22"/>
      <c r="P219" s="22"/>
    </row>
    <row r="220" spans="1:16" ht="15.6" x14ac:dyDescent="0.25">
      <c r="A220" s="37"/>
      <c r="B220" s="129"/>
      <c r="C220" s="193"/>
      <c r="D220" s="166"/>
      <c r="E220" s="72" t="s">
        <v>220</v>
      </c>
      <c r="F220" s="31"/>
      <c r="G220" s="116" t="s">
        <v>25</v>
      </c>
      <c r="H220" s="10" t="s">
        <v>25</v>
      </c>
      <c r="I220" s="1" t="s">
        <v>25</v>
      </c>
      <c r="J220" s="1" t="s">
        <v>25</v>
      </c>
      <c r="K220" s="1" t="s">
        <v>25</v>
      </c>
      <c r="L220" s="1" t="s">
        <v>25</v>
      </c>
      <c r="M220" s="1" t="s">
        <v>25</v>
      </c>
      <c r="N220" s="129"/>
      <c r="O220" s="22"/>
      <c r="P220" s="22"/>
    </row>
    <row r="221" spans="1:16" ht="15.6" x14ac:dyDescent="0.25">
      <c r="A221" s="37"/>
      <c r="B221" s="129"/>
      <c r="C221" s="194"/>
      <c r="D221" s="73" t="s">
        <v>221</v>
      </c>
      <c r="E221" s="72" t="s">
        <v>221</v>
      </c>
      <c r="F221" s="31"/>
      <c r="G221" s="116" t="s">
        <v>25</v>
      </c>
      <c r="H221" s="10" t="s">
        <v>25</v>
      </c>
      <c r="I221" s="1" t="s">
        <v>25</v>
      </c>
      <c r="J221" s="1" t="s">
        <v>25</v>
      </c>
      <c r="K221" s="1" t="s">
        <v>25</v>
      </c>
      <c r="L221" s="1">
        <v>1</v>
      </c>
      <c r="M221" s="1">
        <v>1</v>
      </c>
      <c r="N221" s="130"/>
      <c r="O221" s="22"/>
      <c r="P221" s="22"/>
    </row>
    <row r="222" spans="1:16" ht="32.4" x14ac:dyDescent="0.25">
      <c r="A222" s="37"/>
      <c r="B222" s="74" t="s">
        <v>222</v>
      </c>
      <c r="C222" s="195" t="s">
        <v>223</v>
      </c>
      <c r="D222" s="195"/>
      <c r="E222" s="195"/>
      <c r="F222" s="31"/>
      <c r="G222" s="116">
        <v>5</v>
      </c>
      <c r="H222" s="10" t="s">
        <v>245</v>
      </c>
      <c r="I222" s="1">
        <v>5</v>
      </c>
      <c r="J222" s="1" t="s">
        <v>245</v>
      </c>
      <c r="K222" s="1" t="s">
        <v>245</v>
      </c>
      <c r="L222" s="1">
        <v>88</v>
      </c>
      <c r="M222" s="1">
        <v>10</v>
      </c>
      <c r="N222" s="1">
        <v>5</v>
      </c>
      <c r="O222" s="22"/>
      <c r="P222" s="22"/>
    </row>
    <row r="223" spans="1:16" ht="15.6" x14ac:dyDescent="0.25">
      <c r="A223" s="37"/>
      <c r="B223" s="22"/>
      <c r="C223" s="22"/>
      <c r="D223" s="30"/>
      <c r="E223" s="22"/>
      <c r="F223" s="75" t="s">
        <v>224</v>
      </c>
      <c r="G223" s="76">
        <f t="shared" ref="G223:N223" si="0">SUM(G3:G222)</f>
        <v>44</v>
      </c>
      <c r="H223" s="273">
        <f t="shared" si="0"/>
        <v>21</v>
      </c>
      <c r="I223" s="76">
        <f t="shared" si="0"/>
        <v>25</v>
      </c>
      <c r="J223" s="76">
        <f t="shared" si="0"/>
        <v>21</v>
      </c>
      <c r="K223" s="76">
        <f t="shared" si="0"/>
        <v>18</v>
      </c>
      <c r="L223" s="76">
        <f t="shared" si="0"/>
        <v>388</v>
      </c>
      <c r="M223" s="76">
        <f t="shared" si="0"/>
        <v>263</v>
      </c>
      <c r="N223" s="76">
        <f t="shared" si="0"/>
        <v>250</v>
      </c>
      <c r="O223" s="76">
        <f>SUM(G223:N223)</f>
        <v>1030</v>
      </c>
      <c r="P223" s="41"/>
    </row>
    <row r="224" spans="1:16" ht="31.2" x14ac:dyDescent="0.25">
      <c r="A224" s="23"/>
      <c r="B224" s="23"/>
      <c r="C224" s="23"/>
      <c r="D224" s="77"/>
      <c r="E224" s="23"/>
      <c r="F224" s="23"/>
      <c r="G224" s="78"/>
      <c r="H224" s="79"/>
      <c r="I224" s="79"/>
      <c r="J224" s="79"/>
      <c r="K224" s="79"/>
      <c r="L224" s="11" t="s">
        <v>269</v>
      </c>
      <c r="M224" s="11" t="s">
        <v>270</v>
      </c>
      <c r="O224" s="11" t="s">
        <v>271</v>
      </c>
      <c r="P224" s="23"/>
    </row>
  </sheetData>
  <autoFilter ref="A2:P224"/>
  <mergeCells count="157">
    <mergeCell ref="N131:N134"/>
    <mergeCell ref="N135:N136"/>
    <mergeCell ref="D172:D173"/>
    <mergeCell ref="L172:L173"/>
    <mergeCell ref="M172:M173"/>
    <mergeCell ref="N172:N173"/>
    <mergeCell ref="C127:C180"/>
    <mergeCell ref="F127:F179"/>
    <mergeCell ref="D131:D136"/>
    <mergeCell ref="E131:E134"/>
    <mergeCell ref="E135:E136"/>
    <mergeCell ref="L131:L134"/>
    <mergeCell ref="M131:M134"/>
    <mergeCell ref="L135:L136"/>
    <mergeCell ref="M135:M136"/>
    <mergeCell ref="L163:L167"/>
    <mergeCell ref="N159:N162"/>
    <mergeCell ref="N163:N167"/>
    <mergeCell ref="N168:N171"/>
    <mergeCell ref="N174:N178"/>
    <mergeCell ref="L174:L178"/>
    <mergeCell ref="M163:M167"/>
    <mergeCell ref="L129:L130"/>
    <mergeCell ref="L150:L151"/>
    <mergeCell ref="I88:I92"/>
    <mergeCell ref="J88:J92"/>
    <mergeCell ref="K88:K92"/>
    <mergeCell ref="L88:L92"/>
    <mergeCell ref="M88:M92"/>
    <mergeCell ref="N88:N92"/>
    <mergeCell ref="C95:C97"/>
    <mergeCell ref="C98:C125"/>
    <mergeCell ref="F98:F125"/>
    <mergeCell ref="D98:D99"/>
    <mergeCell ref="D100:D107"/>
    <mergeCell ref="N106:N107"/>
    <mergeCell ref="F65:F94"/>
    <mergeCell ref="D88:D92"/>
    <mergeCell ref="E89:E90"/>
    <mergeCell ref="E91:E92"/>
    <mergeCell ref="G88:G92"/>
    <mergeCell ref="H88:H92"/>
    <mergeCell ref="C222:E222"/>
    <mergeCell ref="D80:D83"/>
    <mergeCell ref="D84:D85"/>
    <mergeCell ref="D86:D87"/>
    <mergeCell ref="D93:D94"/>
    <mergeCell ref="D163:D167"/>
    <mergeCell ref="D168:D171"/>
    <mergeCell ref="D108:D111"/>
    <mergeCell ref="D112:D115"/>
    <mergeCell ref="D116:D119"/>
    <mergeCell ref="D120:D125"/>
    <mergeCell ref="D127:D128"/>
    <mergeCell ref="D129:D130"/>
    <mergeCell ref="D137:D149"/>
    <mergeCell ref="D150:D151"/>
    <mergeCell ref="D152:D155"/>
    <mergeCell ref="D38:D42"/>
    <mergeCell ref="D43:D59"/>
    <mergeCell ref="D60:D62"/>
    <mergeCell ref="D65:D73"/>
    <mergeCell ref="D74:D79"/>
    <mergeCell ref="A1:A2"/>
    <mergeCell ref="B1:B2"/>
    <mergeCell ref="B11:B62"/>
    <mergeCell ref="B63:B221"/>
    <mergeCell ref="C1:C2"/>
    <mergeCell ref="C3:C9"/>
    <mergeCell ref="C11:C18"/>
    <mergeCell ref="C19:C26"/>
    <mergeCell ref="C27:C28"/>
    <mergeCell ref="C29:C35"/>
    <mergeCell ref="C36:C37"/>
    <mergeCell ref="C38:C62"/>
    <mergeCell ref="C181:C195"/>
    <mergeCell ref="C196:C221"/>
    <mergeCell ref="C63:C64"/>
    <mergeCell ref="C65:C94"/>
    <mergeCell ref="L38:L42"/>
    <mergeCell ref="L43:L47"/>
    <mergeCell ref="L49:L58"/>
    <mergeCell ref="L127:L128"/>
    <mergeCell ref="D182:D195"/>
    <mergeCell ref="D197:D215"/>
    <mergeCell ref="D216:D220"/>
    <mergeCell ref="E1:E2"/>
    <mergeCell ref="E3:E4"/>
    <mergeCell ref="E5:E7"/>
    <mergeCell ref="E38:E39"/>
    <mergeCell ref="E40:E41"/>
    <mergeCell ref="E44:E59"/>
    <mergeCell ref="E93:E94"/>
    <mergeCell ref="E168:E169"/>
    <mergeCell ref="E197:E199"/>
    <mergeCell ref="E207:E208"/>
    <mergeCell ref="E209:E210"/>
    <mergeCell ref="E211:E214"/>
    <mergeCell ref="D156:D158"/>
    <mergeCell ref="D159:D162"/>
    <mergeCell ref="L156:L158"/>
    <mergeCell ref="L159:L162"/>
    <mergeCell ref="D1:D2"/>
    <mergeCell ref="F1:F2"/>
    <mergeCell ref="F20:F25"/>
    <mergeCell ref="G27:G28"/>
    <mergeCell ref="G29:G31"/>
    <mergeCell ref="G1:N1"/>
    <mergeCell ref="D36:E36"/>
    <mergeCell ref="D37:E37"/>
    <mergeCell ref="H27:H28"/>
    <mergeCell ref="H29:H31"/>
    <mergeCell ref="I11:I18"/>
    <mergeCell ref="I27:I28"/>
    <mergeCell ref="I29:I31"/>
    <mergeCell ref="J3:J9"/>
    <mergeCell ref="K3:K9"/>
    <mergeCell ref="L3:L8"/>
    <mergeCell ref="M3:M8"/>
    <mergeCell ref="M20:M22"/>
    <mergeCell ref="L20:L22"/>
    <mergeCell ref="D3:D8"/>
    <mergeCell ref="D20:D25"/>
    <mergeCell ref="D32:D35"/>
    <mergeCell ref="M38:M42"/>
    <mergeCell ref="M43:M47"/>
    <mergeCell ref="M49:M58"/>
    <mergeCell ref="M127:M128"/>
    <mergeCell ref="M129:M130"/>
    <mergeCell ref="M150:M151"/>
    <mergeCell ref="M152:M155"/>
    <mergeCell ref="M156:M158"/>
    <mergeCell ref="M159:M162"/>
    <mergeCell ref="L152:L155"/>
    <mergeCell ref="D174:D176"/>
    <mergeCell ref="D177:D179"/>
    <mergeCell ref="N182:N195"/>
    <mergeCell ref="N197:N215"/>
    <mergeCell ref="N216:N221"/>
    <mergeCell ref="G3:G9"/>
    <mergeCell ref="I3:I9"/>
    <mergeCell ref="H3:H9"/>
    <mergeCell ref="G20:G25"/>
    <mergeCell ref="H20:H25"/>
    <mergeCell ref="I20:I25"/>
    <mergeCell ref="J20:J25"/>
    <mergeCell ref="K20:K25"/>
    <mergeCell ref="M174:M178"/>
    <mergeCell ref="N3:N8"/>
    <mergeCell ref="N20:N25"/>
    <mergeCell ref="N38:N47"/>
    <mergeCell ref="N49:N58"/>
    <mergeCell ref="N129:N130"/>
    <mergeCell ref="N148:N149"/>
    <mergeCell ref="N150:N151"/>
    <mergeCell ref="N152:N155"/>
    <mergeCell ref="N156:N158"/>
  </mergeCells>
  <phoneticPr fontId="2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C25" sqref="C25:C30"/>
    </sheetView>
  </sheetViews>
  <sheetFormatPr defaultColWidth="9" defaultRowHeight="14.4" x14ac:dyDescent="0.25"/>
  <cols>
    <col min="1" max="1" width="9" style="19"/>
    <col min="2" max="2" width="20.77734375" style="19" customWidth="1"/>
    <col min="3" max="3" width="17.21875" style="19" customWidth="1"/>
    <col min="4" max="4" width="20.109375" style="19" customWidth="1"/>
    <col min="5" max="5" width="31.33203125" style="19" customWidth="1"/>
    <col min="6" max="13" width="9" style="19"/>
    <col min="14" max="14" width="15.44140625" style="19" customWidth="1"/>
    <col min="15" max="16384" width="9" style="19"/>
  </cols>
  <sheetData>
    <row r="1" spans="1:14" ht="16.2" x14ac:dyDescent="0.25">
      <c r="A1" s="184" t="s">
        <v>0</v>
      </c>
      <c r="B1" s="213" t="s">
        <v>1</v>
      </c>
      <c r="C1" s="184" t="s">
        <v>2</v>
      </c>
      <c r="D1" s="184" t="s">
        <v>3</v>
      </c>
      <c r="E1" s="184" t="s">
        <v>4</v>
      </c>
      <c r="F1" s="184" t="s">
        <v>5</v>
      </c>
      <c r="G1" s="209" t="s">
        <v>6</v>
      </c>
      <c r="H1" s="210"/>
      <c r="I1" s="210"/>
      <c r="J1" s="210"/>
      <c r="K1" s="210"/>
      <c r="L1" s="145"/>
      <c r="M1" s="18"/>
      <c r="N1" s="18"/>
    </row>
    <row r="2" spans="1:14" ht="32.4" x14ac:dyDescent="0.25">
      <c r="A2" s="184"/>
      <c r="B2" s="213"/>
      <c r="C2" s="184"/>
      <c r="D2" s="184"/>
      <c r="E2" s="184"/>
      <c r="F2" s="184"/>
      <c r="G2" s="20" t="s">
        <v>7</v>
      </c>
      <c r="H2" s="20" t="s">
        <v>8</v>
      </c>
      <c r="I2" s="20" t="s">
        <v>9</v>
      </c>
      <c r="J2" s="20" t="s">
        <v>225</v>
      </c>
      <c r="K2" s="20" t="s">
        <v>13</v>
      </c>
      <c r="L2" s="20" t="s">
        <v>14</v>
      </c>
      <c r="M2" s="20" t="s">
        <v>15</v>
      </c>
      <c r="N2" s="20" t="s">
        <v>16</v>
      </c>
    </row>
    <row r="3" spans="1:14" ht="28.8" x14ac:dyDescent="0.25">
      <c r="A3" s="19">
        <v>1</v>
      </c>
      <c r="B3" s="84" t="s">
        <v>272</v>
      </c>
      <c r="C3" s="211" t="s">
        <v>252</v>
      </c>
      <c r="D3" s="212"/>
      <c r="E3" s="212"/>
      <c r="F3" s="85"/>
      <c r="G3" s="86">
        <v>10</v>
      </c>
      <c r="H3" s="86">
        <v>15</v>
      </c>
      <c r="I3" s="86">
        <v>10</v>
      </c>
      <c r="J3" s="86">
        <v>30</v>
      </c>
      <c r="K3" s="86">
        <v>10</v>
      </c>
      <c r="L3" s="87">
        <v>5</v>
      </c>
      <c r="M3" s="85"/>
      <c r="N3" s="85"/>
    </row>
    <row r="4" spans="1:14" ht="15.6" x14ac:dyDescent="0.25">
      <c r="A4" s="19">
        <v>2</v>
      </c>
      <c r="B4" s="214" t="s">
        <v>226</v>
      </c>
      <c r="C4" s="88" t="s">
        <v>227</v>
      </c>
      <c r="D4" s="85" t="s">
        <v>228</v>
      </c>
      <c r="E4" s="85" t="s">
        <v>229</v>
      </c>
      <c r="F4" s="85"/>
      <c r="G4" s="86">
        <v>1</v>
      </c>
      <c r="H4" s="86">
        <v>2</v>
      </c>
      <c r="I4" s="86">
        <v>1</v>
      </c>
      <c r="J4" s="86">
        <v>1</v>
      </c>
      <c r="K4" s="86">
        <v>4</v>
      </c>
      <c r="L4" s="86">
        <v>2</v>
      </c>
      <c r="M4" s="85"/>
      <c r="N4" s="85"/>
    </row>
    <row r="5" spans="1:14" ht="15.6" x14ac:dyDescent="0.25">
      <c r="A5" s="19">
        <v>3</v>
      </c>
      <c r="B5" s="214"/>
      <c r="C5" s="88" t="s">
        <v>230</v>
      </c>
      <c r="D5" s="85" t="s">
        <v>231</v>
      </c>
      <c r="E5" s="85" t="s">
        <v>232</v>
      </c>
      <c r="F5" s="85"/>
      <c r="G5" s="86">
        <v>1</v>
      </c>
      <c r="H5" s="86">
        <v>1</v>
      </c>
      <c r="I5" s="86">
        <v>0.5</v>
      </c>
      <c r="J5" s="86">
        <v>0.5</v>
      </c>
      <c r="K5" s="86">
        <v>4</v>
      </c>
      <c r="L5" s="86">
        <v>2</v>
      </c>
      <c r="M5" s="85"/>
      <c r="N5" s="85"/>
    </row>
    <row r="6" spans="1:14" ht="15.6" x14ac:dyDescent="0.25">
      <c r="A6" s="19">
        <v>4</v>
      </c>
      <c r="B6" s="214"/>
      <c r="C6" s="88" t="s">
        <v>233</v>
      </c>
      <c r="D6" s="85" t="s">
        <v>55</v>
      </c>
      <c r="E6" s="85" t="s">
        <v>234</v>
      </c>
      <c r="F6" s="85"/>
      <c r="G6" s="86">
        <v>1</v>
      </c>
      <c r="H6" s="86">
        <v>1</v>
      </c>
      <c r="I6" s="86">
        <v>0.5</v>
      </c>
      <c r="J6" s="86">
        <v>3</v>
      </c>
      <c r="K6" s="86">
        <v>4</v>
      </c>
      <c r="L6" s="87">
        <v>1</v>
      </c>
      <c r="M6" s="85"/>
      <c r="N6" s="85"/>
    </row>
    <row r="7" spans="1:14" ht="15.6" x14ac:dyDescent="0.25">
      <c r="A7" s="19">
        <v>5</v>
      </c>
      <c r="B7" s="214"/>
      <c r="C7" s="88" t="s">
        <v>235</v>
      </c>
      <c r="D7" s="85" t="s">
        <v>236</v>
      </c>
      <c r="E7" s="85" t="s">
        <v>237</v>
      </c>
      <c r="F7" s="85"/>
      <c r="G7" s="86">
        <v>1</v>
      </c>
      <c r="H7" s="86">
        <v>1</v>
      </c>
      <c r="I7" s="86">
        <v>0.5</v>
      </c>
      <c r="J7" s="86">
        <v>1.5</v>
      </c>
      <c r="K7" s="86">
        <v>4</v>
      </c>
      <c r="L7" s="87">
        <v>2</v>
      </c>
      <c r="M7" s="85"/>
      <c r="N7" s="85"/>
    </row>
    <row r="8" spans="1:14" ht="15.6" x14ac:dyDescent="0.25">
      <c r="A8" s="19">
        <v>6</v>
      </c>
      <c r="B8" s="214"/>
      <c r="C8" s="88" t="s">
        <v>238</v>
      </c>
      <c r="D8" s="85" t="s">
        <v>239</v>
      </c>
      <c r="E8" s="85" t="s">
        <v>240</v>
      </c>
      <c r="F8" s="85"/>
      <c r="G8" s="86">
        <v>1</v>
      </c>
      <c r="H8" s="86">
        <v>1</v>
      </c>
      <c r="I8" s="86">
        <v>0.5</v>
      </c>
      <c r="J8" s="86">
        <v>3.5</v>
      </c>
      <c r="K8" s="86">
        <v>4</v>
      </c>
      <c r="L8" s="87">
        <v>2</v>
      </c>
      <c r="M8" s="85"/>
      <c r="N8" s="85"/>
    </row>
    <row r="9" spans="1:14" ht="15.6" x14ac:dyDescent="0.25">
      <c r="A9" s="19">
        <v>7</v>
      </c>
      <c r="B9" s="214"/>
      <c r="C9" s="88" t="s">
        <v>59</v>
      </c>
      <c r="D9" s="88"/>
      <c r="E9" s="88"/>
      <c r="F9" s="88"/>
      <c r="G9" s="86" t="s">
        <v>25</v>
      </c>
      <c r="H9" s="86" t="s">
        <v>25</v>
      </c>
      <c r="I9" s="86" t="s">
        <v>25</v>
      </c>
      <c r="J9" s="86">
        <v>0.5</v>
      </c>
      <c r="K9" s="86">
        <v>0.5</v>
      </c>
      <c r="L9" s="86">
        <v>0.5</v>
      </c>
      <c r="M9" s="88"/>
      <c r="N9" s="88"/>
    </row>
    <row r="10" spans="1:14" ht="15.6" x14ac:dyDescent="0.25">
      <c r="A10" s="19">
        <v>8</v>
      </c>
      <c r="B10" s="214"/>
      <c r="C10" s="88" t="s">
        <v>241</v>
      </c>
      <c r="D10" s="88"/>
      <c r="E10" s="88"/>
      <c r="F10" s="88"/>
      <c r="G10" s="86" t="s">
        <v>25</v>
      </c>
      <c r="H10" s="86" t="s">
        <v>25</v>
      </c>
      <c r="I10" s="86" t="s">
        <v>25</v>
      </c>
      <c r="J10" s="86">
        <v>0.5</v>
      </c>
      <c r="K10" s="86">
        <v>0.5</v>
      </c>
      <c r="L10" s="86">
        <v>1</v>
      </c>
      <c r="M10" s="88"/>
      <c r="N10" s="88"/>
    </row>
    <row r="11" spans="1:14" ht="15.6" x14ac:dyDescent="0.25">
      <c r="A11" s="19">
        <v>9</v>
      </c>
      <c r="B11" s="214"/>
      <c r="C11" s="88" t="s">
        <v>242</v>
      </c>
      <c r="D11" s="88"/>
      <c r="E11" s="88"/>
      <c r="F11" s="88"/>
      <c r="G11" s="86" t="s">
        <v>25</v>
      </c>
      <c r="H11" s="86" t="s">
        <v>25</v>
      </c>
      <c r="I11" s="86" t="s">
        <v>25</v>
      </c>
      <c r="J11" s="86">
        <v>0.5</v>
      </c>
      <c r="K11" s="86">
        <v>0.5</v>
      </c>
      <c r="L11" s="86">
        <v>0.5</v>
      </c>
      <c r="M11" s="88"/>
      <c r="N11" s="88"/>
    </row>
    <row r="12" spans="1:14" ht="15.6" x14ac:dyDescent="0.25">
      <c r="A12" s="19">
        <v>10</v>
      </c>
      <c r="B12" s="214"/>
      <c r="C12" s="88" t="s">
        <v>243</v>
      </c>
      <c r="D12" s="88"/>
      <c r="E12" s="88"/>
      <c r="F12" s="88"/>
      <c r="G12" s="86" t="s">
        <v>25</v>
      </c>
      <c r="H12" s="86" t="s">
        <v>25</v>
      </c>
      <c r="I12" s="86" t="s">
        <v>25</v>
      </c>
      <c r="J12" s="86">
        <v>0.5</v>
      </c>
      <c r="K12" s="86">
        <v>2</v>
      </c>
      <c r="L12" s="86">
        <v>0.5</v>
      </c>
      <c r="M12" s="88"/>
      <c r="N12" s="88"/>
    </row>
    <row r="13" spans="1:14" ht="15.6" x14ac:dyDescent="0.25">
      <c r="A13" s="19">
        <v>11</v>
      </c>
      <c r="B13" s="214"/>
      <c r="C13" s="88" t="s">
        <v>244</v>
      </c>
      <c r="D13" s="88"/>
      <c r="E13" s="88"/>
      <c r="F13" s="88"/>
      <c r="G13" s="86" t="s">
        <v>25</v>
      </c>
      <c r="H13" s="86" t="s">
        <v>25</v>
      </c>
      <c r="I13" s="86" t="s">
        <v>25</v>
      </c>
      <c r="J13" s="86">
        <v>0.5</v>
      </c>
      <c r="K13" s="86">
        <v>0.5</v>
      </c>
      <c r="L13" s="86">
        <v>0.5</v>
      </c>
      <c r="M13" s="88"/>
      <c r="N13" s="88"/>
    </row>
    <row r="14" spans="1:14" ht="15.6" x14ac:dyDescent="0.25">
      <c r="F14" s="89" t="s">
        <v>224</v>
      </c>
      <c r="G14" s="90">
        <f>SUM(G3:G8)</f>
        <v>15</v>
      </c>
      <c r="H14" s="90">
        <f>SUM(H3:H8)</f>
        <v>21</v>
      </c>
      <c r="I14" s="90">
        <f>SUM(I3:I8)</f>
        <v>13</v>
      </c>
      <c r="J14" s="90">
        <f>SUM(J3:J13)</f>
        <v>42</v>
      </c>
      <c r="K14" s="90">
        <f>SUM(K3:K13)</f>
        <v>34</v>
      </c>
      <c r="L14" s="90">
        <f>SUM(L3:L13)</f>
        <v>17</v>
      </c>
      <c r="M14" s="90">
        <f>SUM(G14:L14)</f>
        <v>142</v>
      </c>
    </row>
  </sheetData>
  <mergeCells count="9">
    <mergeCell ref="G1:L1"/>
    <mergeCell ref="C3:E3"/>
    <mergeCell ref="A1:A2"/>
    <mergeCell ref="B1:B2"/>
    <mergeCell ref="B4:B13"/>
    <mergeCell ref="C1:C2"/>
    <mergeCell ref="D1:D2"/>
    <mergeCell ref="E1:E2"/>
    <mergeCell ref="F1:F2"/>
  </mergeCells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14" sqref="B14"/>
    </sheetView>
  </sheetViews>
  <sheetFormatPr defaultRowHeight="14.4" x14ac:dyDescent="0.25"/>
  <cols>
    <col min="1" max="1" width="23.88671875" customWidth="1"/>
    <col min="2" max="2" width="67.88671875" customWidth="1"/>
    <col min="4" max="4" width="13.88671875" customWidth="1"/>
    <col min="5" max="5" width="32.109375" customWidth="1"/>
  </cols>
  <sheetData>
    <row r="1" spans="1:5" x14ac:dyDescent="0.25">
      <c r="A1" s="119" t="s">
        <v>275</v>
      </c>
      <c r="B1" s="119" t="s">
        <v>276</v>
      </c>
      <c r="C1" s="119" t="s">
        <v>277</v>
      </c>
      <c r="D1" s="119" t="s">
        <v>278</v>
      </c>
      <c r="E1" s="119" t="s">
        <v>279</v>
      </c>
    </row>
    <row r="2" spans="1:5" x14ac:dyDescent="0.25">
      <c r="A2" s="120" t="s">
        <v>280</v>
      </c>
      <c r="B2" s="121" t="s">
        <v>281</v>
      </c>
      <c r="C2" s="120">
        <v>1</v>
      </c>
      <c r="D2" s="120" t="s">
        <v>282</v>
      </c>
      <c r="E2" s="120" t="s">
        <v>283</v>
      </c>
    </row>
    <row r="3" spans="1:5" ht="29.4" customHeight="1" x14ac:dyDescent="0.25">
      <c r="A3" s="120" t="s">
        <v>284</v>
      </c>
      <c r="B3" s="121" t="s">
        <v>285</v>
      </c>
      <c r="C3" s="120">
        <v>3</v>
      </c>
      <c r="D3" s="120" t="s">
        <v>282</v>
      </c>
      <c r="E3" s="120" t="s">
        <v>295</v>
      </c>
    </row>
    <row r="4" spans="1:5" x14ac:dyDescent="0.25">
      <c r="A4" s="120" t="s">
        <v>286</v>
      </c>
      <c r="B4" s="121" t="s">
        <v>287</v>
      </c>
      <c r="C4" s="120">
        <v>1</v>
      </c>
      <c r="D4" s="120" t="s">
        <v>282</v>
      </c>
      <c r="E4" s="120">
        <v>10</v>
      </c>
    </row>
    <row r="5" spans="1:5" x14ac:dyDescent="0.25">
      <c r="A5" s="120" t="s">
        <v>288</v>
      </c>
      <c r="B5" s="121" t="s">
        <v>289</v>
      </c>
      <c r="C5" s="120">
        <v>1</v>
      </c>
      <c r="D5" s="120" t="s">
        <v>282</v>
      </c>
      <c r="E5" s="120">
        <v>10</v>
      </c>
    </row>
    <row r="6" spans="1:5" x14ac:dyDescent="0.25">
      <c r="A6" s="120" t="s">
        <v>290</v>
      </c>
      <c r="B6" s="121" t="s">
        <v>291</v>
      </c>
      <c r="C6" s="120">
        <v>2</v>
      </c>
      <c r="D6" s="120" t="s">
        <v>282</v>
      </c>
      <c r="E6" s="120">
        <v>40</v>
      </c>
    </row>
    <row r="7" spans="1:5" x14ac:dyDescent="0.25">
      <c r="A7" s="120" t="s">
        <v>292</v>
      </c>
      <c r="B7" s="121" t="s">
        <v>293</v>
      </c>
      <c r="C7" s="120">
        <v>1</v>
      </c>
      <c r="D7" s="120" t="s">
        <v>282</v>
      </c>
      <c r="E7" s="120">
        <v>50</v>
      </c>
    </row>
    <row r="8" spans="1:5" x14ac:dyDescent="0.25">
      <c r="A8" s="122" t="s">
        <v>294</v>
      </c>
      <c r="B8" s="123"/>
      <c r="C8" s="122">
        <v>9</v>
      </c>
      <c r="D8" s="122"/>
      <c r="E8" s="122">
        <v>449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opLeftCell="A103" zoomScaleNormal="100" workbookViewId="0">
      <selection activeCell="C63" sqref="C63:C66"/>
    </sheetView>
  </sheetViews>
  <sheetFormatPr defaultColWidth="15.109375" defaultRowHeight="14.4" x14ac:dyDescent="0.25"/>
  <cols>
    <col min="1" max="2" width="15.109375" style="19"/>
    <col min="3" max="3" width="36.21875" style="19" customWidth="1"/>
    <col min="4" max="16384" width="15.109375" style="19"/>
  </cols>
  <sheetData>
    <row r="1" spans="1:7" x14ac:dyDescent="0.25">
      <c r="A1" s="242" t="s">
        <v>1</v>
      </c>
      <c r="B1" s="242" t="s">
        <v>2</v>
      </c>
      <c r="C1" s="243" t="s">
        <v>3</v>
      </c>
      <c r="D1" s="244" t="s">
        <v>5</v>
      </c>
      <c r="E1" s="231" t="s">
        <v>267</v>
      </c>
      <c r="F1" s="232"/>
      <c r="G1" s="91"/>
    </row>
    <row r="2" spans="1:7" x14ac:dyDescent="0.25">
      <c r="A2" s="242"/>
      <c r="B2" s="242"/>
      <c r="C2" s="243"/>
      <c r="D2" s="244"/>
      <c r="E2" s="92" t="s">
        <v>268</v>
      </c>
      <c r="F2" s="92" t="s">
        <v>13</v>
      </c>
      <c r="G2" s="92" t="s">
        <v>15</v>
      </c>
    </row>
    <row r="3" spans="1:7" x14ac:dyDescent="0.25">
      <c r="A3" s="245" t="s">
        <v>261</v>
      </c>
      <c r="B3" s="229"/>
      <c r="C3" s="93" t="s">
        <v>93</v>
      </c>
      <c r="D3" s="248"/>
      <c r="E3" s="94">
        <v>2</v>
      </c>
      <c r="F3" s="95">
        <v>2</v>
      </c>
    </row>
    <row r="4" spans="1:7" x14ac:dyDescent="0.25">
      <c r="A4" s="245"/>
      <c r="B4" s="229"/>
      <c r="C4" s="93" t="s">
        <v>94</v>
      </c>
      <c r="D4" s="248"/>
      <c r="E4" s="94">
        <v>4</v>
      </c>
      <c r="F4" s="95">
        <v>2</v>
      </c>
    </row>
    <row r="5" spans="1:7" x14ac:dyDescent="0.25">
      <c r="A5" s="245"/>
      <c r="B5" s="229"/>
      <c r="C5" s="96" t="s">
        <v>95</v>
      </c>
      <c r="D5" s="248"/>
      <c r="E5" s="94">
        <v>2</v>
      </c>
      <c r="F5" s="95">
        <v>1</v>
      </c>
    </row>
    <row r="6" spans="1:7" x14ac:dyDescent="0.25">
      <c r="A6" s="245"/>
      <c r="B6" s="229"/>
      <c r="C6" s="93" t="s">
        <v>96</v>
      </c>
      <c r="D6" s="248"/>
      <c r="E6" s="94">
        <v>2</v>
      </c>
      <c r="F6" s="95">
        <v>2</v>
      </c>
    </row>
    <row r="7" spans="1:7" x14ac:dyDescent="0.25">
      <c r="A7" s="245"/>
      <c r="B7" s="229"/>
      <c r="C7" s="93" t="s">
        <v>97</v>
      </c>
      <c r="D7" s="248"/>
      <c r="E7" s="94">
        <v>4</v>
      </c>
      <c r="F7" s="95">
        <v>2</v>
      </c>
    </row>
    <row r="8" spans="1:7" x14ac:dyDescent="0.25">
      <c r="A8" s="245"/>
      <c r="B8" s="229"/>
      <c r="C8" s="97" t="s">
        <v>98</v>
      </c>
      <c r="D8" s="248"/>
      <c r="E8" s="94">
        <v>2</v>
      </c>
      <c r="F8" s="95">
        <v>1</v>
      </c>
    </row>
    <row r="9" spans="1:7" x14ac:dyDescent="0.25">
      <c r="A9" s="245"/>
      <c r="B9" s="229"/>
      <c r="C9" s="97" t="s">
        <v>99</v>
      </c>
      <c r="D9" s="248"/>
      <c r="E9" s="94">
        <v>3</v>
      </c>
      <c r="F9" s="95">
        <v>1</v>
      </c>
    </row>
    <row r="10" spans="1:7" x14ac:dyDescent="0.25">
      <c r="A10" s="245"/>
      <c r="B10" s="229"/>
      <c r="C10" s="97" t="s">
        <v>100</v>
      </c>
      <c r="D10" s="248"/>
      <c r="E10" s="94">
        <v>3</v>
      </c>
      <c r="F10" s="95">
        <v>1</v>
      </c>
    </row>
    <row r="11" spans="1:7" x14ac:dyDescent="0.25">
      <c r="A11" s="246"/>
      <c r="B11" s="235"/>
      <c r="C11" s="98" t="s">
        <v>101</v>
      </c>
      <c r="D11" s="249"/>
      <c r="E11" s="95">
        <v>3</v>
      </c>
      <c r="F11" s="95">
        <v>2</v>
      </c>
    </row>
    <row r="12" spans="1:7" x14ac:dyDescent="0.25">
      <c r="A12" s="245"/>
      <c r="B12" s="236" t="s">
        <v>102</v>
      </c>
      <c r="C12" s="93" t="s">
        <v>103</v>
      </c>
      <c r="D12" s="248"/>
      <c r="E12" s="94">
        <v>2</v>
      </c>
      <c r="F12" s="95" t="s">
        <v>25</v>
      </c>
    </row>
    <row r="13" spans="1:7" x14ac:dyDescent="0.25">
      <c r="A13" s="245"/>
      <c r="B13" s="237"/>
      <c r="C13" s="99" t="s">
        <v>104</v>
      </c>
      <c r="D13" s="248"/>
      <c r="E13" s="94">
        <v>3</v>
      </c>
      <c r="F13" s="95">
        <v>2</v>
      </c>
    </row>
    <row r="14" spans="1:7" x14ac:dyDescent="0.25">
      <c r="A14" s="245"/>
      <c r="B14" s="237"/>
      <c r="C14" s="99" t="s">
        <v>105</v>
      </c>
      <c r="D14" s="248"/>
      <c r="E14" s="94">
        <v>3</v>
      </c>
      <c r="F14" s="95">
        <v>2</v>
      </c>
    </row>
    <row r="15" spans="1:7" x14ac:dyDescent="0.25">
      <c r="A15" s="245"/>
      <c r="B15" s="237"/>
      <c r="C15" s="99" t="s">
        <v>106</v>
      </c>
      <c r="D15" s="248"/>
      <c r="E15" s="94">
        <v>3</v>
      </c>
      <c r="F15" s="95">
        <v>1</v>
      </c>
    </row>
    <row r="16" spans="1:7" x14ac:dyDescent="0.25">
      <c r="A16" s="245"/>
      <c r="B16" s="237"/>
      <c r="C16" s="100" t="s">
        <v>107</v>
      </c>
      <c r="D16" s="248"/>
      <c r="E16" s="94">
        <v>3</v>
      </c>
      <c r="F16" s="95">
        <v>2</v>
      </c>
    </row>
    <row r="17" spans="1:6" x14ac:dyDescent="0.25">
      <c r="A17" s="245"/>
      <c r="B17" s="238"/>
      <c r="C17" s="100" t="s">
        <v>108</v>
      </c>
      <c r="D17" s="248"/>
      <c r="E17" s="94">
        <v>3</v>
      </c>
      <c r="F17" s="95">
        <v>2</v>
      </c>
    </row>
    <row r="18" spans="1:6" x14ac:dyDescent="0.25">
      <c r="A18" s="245"/>
      <c r="B18" s="239" t="s">
        <v>109</v>
      </c>
      <c r="C18" s="93" t="s">
        <v>103</v>
      </c>
      <c r="D18" s="248"/>
      <c r="E18" s="95" t="s">
        <v>25</v>
      </c>
      <c r="F18" s="95" t="s">
        <v>25</v>
      </c>
    </row>
    <row r="19" spans="1:6" x14ac:dyDescent="0.25">
      <c r="A19" s="245"/>
      <c r="B19" s="239"/>
      <c r="C19" s="100" t="s">
        <v>110</v>
      </c>
      <c r="D19" s="248"/>
      <c r="E19" s="94">
        <v>1</v>
      </c>
      <c r="F19" s="95">
        <v>2</v>
      </c>
    </row>
    <row r="20" spans="1:6" x14ac:dyDescent="0.25">
      <c r="A20" s="245"/>
      <c r="B20" s="239"/>
      <c r="C20" s="100" t="s">
        <v>111</v>
      </c>
      <c r="D20" s="248"/>
      <c r="E20" s="94">
        <v>1</v>
      </c>
      <c r="F20" s="95">
        <v>2</v>
      </c>
    </row>
    <row r="21" spans="1:6" x14ac:dyDescent="0.25">
      <c r="A21" s="245"/>
      <c r="B21" s="240"/>
      <c r="C21" s="100" t="s">
        <v>112</v>
      </c>
      <c r="D21" s="248"/>
      <c r="E21" s="94">
        <v>3</v>
      </c>
      <c r="F21" s="95">
        <v>2</v>
      </c>
    </row>
    <row r="22" spans="1:6" x14ac:dyDescent="0.25">
      <c r="A22" s="245"/>
      <c r="B22" s="241" t="s">
        <v>253</v>
      </c>
      <c r="C22" s="100" t="s">
        <v>114</v>
      </c>
      <c r="D22" s="248"/>
      <c r="E22" s="94">
        <v>2</v>
      </c>
      <c r="F22" s="95">
        <v>1</v>
      </c>
    </row>
    <row r="23" spans="1:6" x14ac:dyDescent="0.25">
      <c r="A23" s="245"/>
      <c r="B23" s="240"/>
      <c r="C23" s="100" t="s">
        <v>115</v>
      </c>
      <c r="D23" s="248"/>
      <c r="E23" s="94">
        <v>3</v>
      </c>
      <c r="F23" s="95">
        <v>2</v>
      </c>
    </row>
    <row r="24" spans="1:6" x14ac:dyDescent="0.25">
      <c r="A24" s="245"/>
      <c r="B24" s="229" t="s">
        <v>116</v>
      </c>
      <c r="C24" s="93" t="s">
        <v>103</v>
      </c>
      <c r="D24" s="248"/>
      <c r="E24" s="94">
        <v>2</v>
      </c>
      <c r="F24" s="95" t="s">
        <v>25</v>
      </c>
    </row>
    <row r="25" spans="1:6" x14ac:dyDescent="0.25">
      <c r="A25" s="245"/>
      <c r="B25" s="220"/>
      <c r="C25" s="101" t="s">
        <v>116</v>
      </c>
      <c r="D25" s="248"/>
      <c r="E25" s="94">
        <v>4</v>
      </c>
      <c r="F25" s="95">
        <v>2</v>
      </c>
    </row>
    <row r="26" spans="1:6" x14ac:dyDescent="0.25">
      <c r="A26" s="245"/>
      <c r="B26" s="219" t="s">
        <v>247</v>
      </c>
      <c r="C26" s="94" t="s">
        <v>248</v>
      </c>
      <c r="D26" s="248"/>
      <c r="E26" s="217">
        <v>7</v>
      </c>
      <c r="F26" s="215">
        <v>6</v>
      </c>
    </row>
    <row r="27" spans="1:6" x14ac:dyDescent="0.25">
      <c r="A27" s="245"/>
      <c r="B27" s="229"/>
      <c r="C27" s="111" t="s">
        <v>249</v>
      </c>
      <c r="D27" s="248"/>
      <c r="E27" s="218"/>
      <c r="F27" s="216"/>
    </row>
    <row r="28" spans="1:6" x14ac:dyDescent="0.25">
      <c r="A28" s="245"/>
      <c r="B28" s="229"/>
      <c r="C28" s="111" t="s">
        <v>250</v>
      </c>
      <c r="D28" s="248"/>
      <c r="E28" s="218"/>
      <c r="F28" s="216"/>
    </row>
    <row r="29" spans="1:6" x14ac:dyDescent="0.25">
      <c r="A29" s="245"/>
      <c r="B29" s="228" t="s">
        <v>117</v>
      </c>
      <c r="C29" s="250" t="s">
        <v>118</v>
      </c>
      <c r="D29" s="248"/>
      <c r="E29" s="94">
        <v>3</v>
      </c>
      <c r="F29" s="95">
        <v>1</v>
      </c>
    </row>
    <row r="30" spans="1:6" x14ac:dyDescent="0.25">
      <c r="A30" s="247"/>
      <c r="B30" s="228"/>
      <c r="C30" s="251"/>
      <c r="D30" s="248"/>
      <c r="E30" s="94">
        <v>3</v>
      </c>
      <c r="F30" s="95">
        <v>1</v>
      </c>
    </row>
    <row r="31" spans="1:6" x14ac:dyDescent="0.25">
      <c r="A31" s="245"/>
      <c r="B31" s="225" t="s">
        <v>254</v>
      </c>
      <c r="C31" s="102" t="s">
        <v>124</v>
      </c>
      <c r="D31" s="217" t="s">
        <v>92</v>
      </c>
      <c r="E31" s="94">
        <v>2</v>
      </c>
      <c r="F31" s="95">
        <v>2</v>
      </c>
    </row>
    <row r="32" spans="1:6" x14ac:dyDescent="0.25">
      <c r="A32" s="245"/>
      <c r="B32" s="227"/>
      <c r="C32" s="102" t="s">
        <v>125</v>
      </c>
      <c r="D32" s="218"/>
      <c r="E32" s="94">
        <v>2</v>
      </c>
      <c r="F32" s="95">
        <v>2</v>
      </c>
    </row>
    <row r="33" spans="1:6" x14ac:dyDescent="0.25">
      <c r="A33" s="245"/>
      <c r="B33" s="225" t="s">
        <v>264</v>
      </c>
      <c r="C33" s="102" t="s">
        <v>126</v>
      </c>
      <c r="D33" s="218"/>
      <c r="E33" s="94">
        <v>2</v>
      </c>
      <c r="F33" s="95">
        <v>2</v>
      </c>
    </row>
    <row r="34" spans="1:6" x14ac:dyDescent="0.25">
      <c r="A34" s="245"/>
      <c r="B34" s="226"/>
      <c r="C34" s="103" t="s">
        <v>260</v>
      </c>
      <c r="D34" s="218"/>
      <c r="E34" s="94" t="s">
        <v>251</v>
      </c>
      <c r="F34" s="95">
        <v>8</v>
      </c>
    </row>
    <row r="35" spans="1:6" x14ac:dyDescent="0.25">
      <c r="A35" s="245"/>
      <c r="B35" s="226"/>
      <c r="C35" s="102" t="s">
        <v>127</v>
      </c>
      <c r="D35" s="218"/>
      <c r="E35" s="94">
        <v>2</v>
      </c>
      <c r="F35" s="95">
        <v>2</v>
      </c>
    </row>
    <row r="36" spans="1:6" x14ac:dyDescent="0.25">
      <c r="A36" s="245"/>
      <c r="B36" s="226"/>
      <c r="C36" s="102" t="s">
        <v>128</v>
      </c>
      <c r="D36" s="218"/>
      <c r="E36" s="94">
        <v>1</v>
      </c>
      <c r="F36" s="95">
        <v>2</v>
      </c>
    </row>
    <row r="37" spans="1:6" x14ac:dyDescent="0.25">
      <c r="A37" s="245"/>
      <c r="B37" s="226"/>
      <c r="C37" s="102" t="s">
        <v>129</v>
      </c>
      <c r="D37" s="218"/>
      <c r="E37" s="94">
        <v>1</v>
      </c>
      <c r="F37" s="95">
        <v>2</v>
      </c>
    </row>
    <row r="38" spans="1:6" x14ac:dyDescent="0.25">
      <c r="A38" s="245"/>
      <c r="B38" s="226"/>
      <c r="C38" s="102" t="s">
        <v>130</v>
      </c>
      <c r="D38" s="218"/>
      <c r="E38" s="94">
        <v>1</v>
      </c>
      <c r="F38" s="95">
        <v>2</v>
      </c>
    </row>
    <row r="39" spans="1:6" x14ac:dyDescent="0.25">
      <c r="A39" s="245"/>
      <c r="B39" s="226"/>
      <c r="C39" s="102" t="s">
        <v>125</v>
      </c>
      <c r="D39" s="218"/>
      <c r="E39" s="94">
        <v>1</v>
      </c>
      <c r="F39" s="95">
        <v>1</v>
      </c>
    </row>
    <row r="40" spans="1:6" x14ac:dyDescent="0.25">
      <c r="A40" s="245"/>
      <c r="B40" s="227"/>
      <c r="C40" s="102" t="s">
        <v>132</v>
      </c>
      <c r="D40" s="218"/>
      <c r="E40" s="94">
        <v>1</v>
      </c>
      <c r="F40" s="95" t="s">
        <v>265</v>
      </c>
    </row>
    <row r="41" spans="1:6" x14ac:dyDescent="0.25">
      <c r="A41" s="245"/>
      <c r="B41" s="233" t="s">
        <v>131</v>
      </c>
      <c r="C41" s="102" t="s">
        <v>125</v>
      </c>
      <c r="D41" s="218"/>
      <c r="E41" s="94">
        <v>1</v>
      </c>
      <c r="F41" s="95">
        <v>1</v>
      </c>
    </row>
    <row r="42" spans="1:6" x14ac:dyDescent="0.25">
      <c r="A42" s="245"/>
      <c r="B42" s="233"/>
      <c r="C42" s="102" t="s">
        <v>132</v>
      </c>
      <c r="D42" s="218"/>
      <c r="E42" s="94">
        <v>1</v>
      </c>
      <c r="F42" s="95" t="s">
        <v>25</v>
      </c>
    </row>
    <row r="43" spans="1:6" x14ac:dyDescent="0.25">
      <c r="A43" s="245"/>
      <c r="B43" s="233"/>
      <c r="C43" s="102" t="s">
        <v>133</v>
      </c>
      <c r="D43" s="218"/>
      <c r="E43" s="94">
        <v>1</v>
      </c>
      <c r="F43" s="95">
        <v>1</v>
      </c>
    </row>
    <row r="44" spans="1:6" x14ac:dyDescent="0.25">
      <c r="A44" s="245"/>
      <c r="B44" s="233"/>
      <c r="C44" s="102" t="s">
        <v>134</v>
      </c>
      <c r="D44" s="218"/>
      <c r="E44" s="94">
        <v>1</v>
      </c>
      <c r="F44" s="95">
        <v>1</v>
      </c>
    </row>
    <row r="45" spans="1:6" x14ac:dyDescent="0.25">
      <c r="A45" s="245"/>
      <c r="B45" s="233" t="s">
        <v>135</v>
      </c>
      <c r="C45" s="102" t="s">
        <v>125</v>
      </c>
      <c r="D45" s="218"/>
      <c r="E45" s="94">
        <v>1</v>
      </c>
      <c r="F45" s="95">
        <v>1</v>
      </c>
    </row>
    <row r="46" spans="1:6" x14ac:dyDescent="0.25">
      <c r="A46" s="245"/>
      <c r="B46" s="233"/>
      <c r="C46" s="102" t="s">
        <v>132</v>
      </c>
      <c r="D46" s="218"/>
      <c r="E46" s="94">
        <v>1</v>
      </c>
      <c r="F46" s="95">
        <v>1</v>
      </c>
    </row>
    <row r="47" spans="1:6" x14ac:dyDescent="0.25">
      <c r="A47" s="245"/>
      <c r="B47" s="233"/>
      <c r="C47" s="102" t="s">
        <v>133</v>
      </c>
      <c r="D47" s="218"/>
      <c r="E47" s="94">
        <v>1</v>
      </c>
      <c r="F47" s="95">
        <v>1</v>
      </c>
    </row>
    <row r="48" spans="1:6" x14ac:dyDescent="0.25">
      <c r="A48" s="245"/>
      <c r="B48" s="233"/>
      <c r="C48" s="102" t="s">
        <v>134</v>
      </c>
      <c r="D48" s="218"/>
      <c r="E48" s="94">
        <v>1</v>
      </c>
      <c r="F48" s="95">
        <v>1</v>
      </c>
    </row>
    <row r="49" spans="1:6" x14ac:dyDescent="0.25">
      <c r="A49" s="245"/>
      <c r="B49" s="233" t="s">
        <v>52</v>
      </c>
      <c r="C49" s="102" t="s">
        <v>125</v>
      </c>
      <c r="D49" s="218"/>
      <c r="E49" s="94">
        <v>1</v>
      </c>
      <c r="F49" s="95">
        <v>1</v>
      </c>
    </row>
    <row r="50" spans="1:6" x14ac:dyDescent="0.25">
      <c r="A50" s="245"/>
      <c r="B50" s="233"/>
      <c r="C50" s="102" t="s">
        <v>132</v>
      </c>
      <c r="D50" s="218"/>
      <c r="E50" s="94">
        <v>1</v>
      </c>
      <c r="F50" s="95">
        <v>1</v>
      </c>
    </row>
    <row r="51" spans="1:6" x14ac:dyDescent="0.25">
      <c r="A51" s="245"/>
      <c r="B51" s="233"/>
      <c r="C51" s="102" t="s">
        <v>133</v>
      </c>
      <c r="D51" s="218"/>
      <c r="E51" s="94" t="s">
        <v>25</v>
      </c>
      <c r="F51" s="95">
        <v>1</v>
      </c>
    </row>
    <row r="52" spans="1:6" x14ac:dyDescent="0.25">
      <c r="A52" s="245"/>
      <c r="B52" s="233"/>
      <c r="C52" s="102" t="s">
        <v>134</v>
      </c>
      <c r="D52" s="218"/>
      <c r="E52" s="94">
        <v>1</v>
      </c>
      <c r="F52" s="95">
        <v>1</v>
      </c>
    </row>
    <row r="53" spans="1:6" x14ac:dyDescent="0.25">
      <c r="A53" s="245"/>
      <c r="B53" s="234" t="s">
        <v>117</v>
      </c>
      <c r="C53" s="102" t="s">
        <v>118</v>
      </c>
      <c r="D53" s="218"/>
      <c r="E53" s="94">
        <v>1</v>
      </c>
      <c r="F53" s="95">
        <v>1</v>
      </c>
    </row>
    <row r="54" spans="1:6" x14ac:dyDescent="0.25">
      <c r="A54" s="245"/>
      <c r="B54" s="234"/>
      <c r="C54" s="102" t="s">
        <v>136</v>
      </c>
      <c r="D54" s="218"/>
      <c r="E54" s="94">
        <v>1</v>
      </c>
      <c r="F54" s="95">
        <v>1</v>
      </c>
    </row>
    <row r="55" spans="1:6" x14ac:dyDescent="0.25">
      <c r="A55" s="245"/>
      <c r="B55" s="234"/>
      <c r="C55" s="102" t="s">
        <v>137</v>
      </c>
      <c r="D55" s="218"/>
      <c r="E55" s="94">
        <v>1</v>
      </c>
      <c r="F55" s="95">
        <v>1</v>
      </c>
    </row>
    <row r="56" spans="1:6" x14ac:dyDescent="0.25">
      <c r="A56" s="245"/>
      <c r="B56" s="234"/>
      <c r="C56" s="102" t="s">
        <v>138</v>
      </c>
      <c r="D56" s="218"/>
      <c r="E56" s="94">
        <v>1</v>
      </c>
      <c r="F56" s="95">
        <v>1</v>
      </c>
    </row>
    <row r="57" spans="1:6" x14ac:dyDescent="0.25">
      <c r="A57" s="245"/>
      <c r="B57" s="234"/>
      <c r="C57" s="102" t="s">
        <v>139</v>
      </c>
      <c r="D57" s="218"/>
      <c r="E57" s="94">
        <v>1</v>
      </c>
      <c r="F57" s="95">
        <v>1</v>
      </c>
    </row>
    <row r="58" spans="1:6" x14ac:dyDescent="0.25">
      <c r="A58" s="247"/>
      <c r="B58" s="234"/>
      <c r="C58" s="102" t="s">
        <v>140</v>
      </c>
      <c r="D58" s="223"/>
      <c r="E58" s="94">
        <v>1</v>
      </c>
      <c r="F58" s="95">
        <v>2</v>
      </c>
    </row>
    <row r="59" spans="1:6" x14ac:dyDescent="0.25">
      <c r="A59" s="245"/>
      <c r="B59" s="228" t="s">
        <v>255</v>
      </c>
      <c r="C59" s="101" t="s">
        <v>143</v>
      </c>
      <c r="D59" s="104"/>
      <c r="E59" s="218">
        <v>2</v>
      </c>
      <c r="F59" s="222">
        <v>2</v>
      </c>
    </row>
    <row r="60" spans="1:6" x14ac:dyDescent="0.25">
      <c r="A60" s="245"/>
      <c r="B60" s="228"/>
      <c r="C60" s="101" t="s">
        <v>144</v>
      </c>
      <c r="D60" s="104"/>
      <c r="E60" s="223"/>
      <c r="F60" s="222"/>
    </row>
    <row r="61" spans="1:6" x14ac:dyDescent="0.25">
      <c r="A61" s="245"/>
      <c r="B61" s="228" t="s">
        <v>145</v>
      </c>
      <c r="C61" s="101" t="s">
        <v>145</v>
      </c>
      <c r="D61" s="104"/>
      <c r="E61" s="217">
        <v>2</v>
      </c>
      <c r="F61" s="222">
        <v>2</v>
      </c>
    </row>
    <row r="62" spans="1:6" x14ac:dyDescent="0.25">
      <c r="A62" s="245"/>
      <c r="B62" s="228"/>
      <c r="C62" s="101" t="s">
        <v>146</v>
      </c>
      <c r="D62" s="104"/>
      <c r="E62" s="223"/>
      <c r="F62" s="222"/>
    </row>
    <row r="63" spans="1:6" x14ac:dyDescent="0.25">
      <c r="A63" s="245"/>
      <c r="B63" s="219" t="s">
        <v>59</v>
      </c>
      <c r="C63" s="230" t="s">
        <v>181</v>
      </c>
      <c r="D63" s="104"/>
      <c r="E63" s="217">
        <v>2</v>
      </c>
      <c r="F63" s="216">
        <v>2</v>
      </c>
    </row>
    <row r="64" spans="1:6" x14ac:dyDescent="0.25">
      <c r="A64" s="245"/>
      <c r="B64" s="229"/>
      <c r="C64" s="230"/>
      <c r="D64" s="104"/>
      <c r="E64" s="218"/>
      <c r="F64" s="216"/>
    </row>
    <row r="65" spans="1:6" x14ac:dyDescent="0.25">
      <c r="A65" s="245"/>
      <c r="B65" s="229"/>
      <c r="C65" s="230"/>
      <c r="D65" s="104"/>
      <c r="E65" s="218"/>
      <c r="F65" s="216"/>
    </row>
    <row r="66" spans="1:6" x14ac:dyDescent="0.25">
      <c r="A66" s="245"/>
      <c r="B66" s="229"/>
      <c r="C66" s="230"/>
      <c r="D66" s="104"/>
      <c r="E66" s="223"/>
      <c r="F66" s="224"/>
    </row>
    <row r="67" spans="1:6" x14ac:dyDescent="0.25">
      <c r="A67" s="245"/>
      <c r="B67" s="229"/>
      <c r="C67" s="230" t="s">
        <v>182</v>
      </c>
      <c r="D67" s="104"/>
      <c r="E67" s="217">
        <v>1</v>
      </c>
      <c r="F67" s="216">
        <v>1</v>
      </c>
    </row>
    <row r="68" spans="1:6" x14ac:dyDescent="0.25">
      <c r="A68" s="245"/>
      <c r="B68" s="229"/>
      <c r="C68" s="230"/>
      <c r="D68" s="104"/>
      <c r="E68" s="223"/>
      <c r="F68" s="224"/>
    </row>
    <row r="69" spans="1:6" x14ac:dyDescent="0.25">
      <c r="A69" s="245"/>
      <c r="B69" s="219" t="s">
        <v>147</v>
      </c>
      <c r="C69" s="101" t="s">
        <v>63</v>
      </c>
      <c r="D69" s="104"/>
      <c r="E69" s="94">
        <v>2</v>
      </c>
      <c r="F69" s="95" t="s">
        <v>25</v>
      </c>
    </row>
    <row r="70" spans="1:6" x14ac:dyDescent="0.25">
      <c r="A70" s="245"/>
      <c r="B70" s="229"/>
      <c r="C70" s="101" t="s">
        <v>148</v>
      </c>
      <c r="D70" s="104"/>
      <c r="E70" s="94">
        <v>2</v>
      </c>
      <c r="F70" s="95">
        <v>2</v>
      </c>
    </row>
    <row r="71" spans="1:6" x14ac:dyDescent="0.25">
      <c r="A71" s="245"/>
      <c r="B71" s="229"/>
      <c r="C71" s="101" t="s">
        <v>149</v>
      </c>
      <c r="D71" s="104"/>
      <c r="E71" s="94">
        <v>2</v>
      </c>
      <c r="F71" s="95">
        <v>2</v>
      </c>
    </row>
    <row r="72" spans="1:6" x14ac:dyDescent="0.25">
      <c r="A72" s="245"/>
      <c r="B72" s="229"/>
      <c r="C72" s="101" t="s">
        <v>150</v>
      </c>
      <c r="D72" s="104"/>
      <c r="E72" s="94">
        <v>1</v>
      </c>
      <c r="F72" s="95">
        <v>1</v>
      </c>
    </row>
    <row r="73" spans="1:6" x14ac:dyDescent="0.25">
      <c r="A73" s="245"/>
      <c r="B73" s="229"/>
      <c r="C73" s="101" t="s">
        <v>151</v>
      </c>
      <c r="D73" s="104"/>
      <c r="E73" s="94">
        <v>1</v>
      </c>
      <c r="F73" s="95">
        <v>1</v>
      </c>
    </row>
    <row r="74" spans="1:6" x14ac:dyDescent="0.25">
      <c r="A74" s="245"/>
      <c r="B74" s="229"/>
      <c r="C74" s="101" t="s">
        <v>152</v>
      </c>
      <c r="D74" s="104"/>
      <c r="E74" s="94">
        <v>1</v>
      </c>
      <c r="F74" s="95">
        <v>1</v>
      </c>
    </row>
    <row r="75" spans="1:6" x14ac:dyDescent="0.25">
      <c r="A75" s="245"/>
      <c r="B75" s="229"/>
      <c r="C75" s="105" t="s">
        <v>153</v>
      </c>
      <c r="D75" s="104"/>
      <c r="E75" s="94">
        <v>2</v>
      </c>
      <c r="F75" s="95">
        <v>2</v>
      </c>
    </row>
    <row r="76" spans="1:6" x14ac:dyDescent="0.25">
      <c r="A76" s="245"/>
      <c r="B76" s="229"/>
      <c r="C76" s="101" t="s">
        <v>154</v>
      </c>
      <c r="D76" s="104"/>
      <c r="E76" s="94">
        <v>2</v>
      </c>
      <c r="F76" s="95">
        <v>2</v>
      </c>
    </row>
    <row r="77" spans="1:6" x14ac:dyDescent="0.25">
      <c r="A77" s="245"/>
      <c r="B77" s="229"/>
      <c r="C77" s="101" t="s">
        <v>155</v>
      </c>
      <c r="D77" s="104"/>
      <c r="E77" s="94">
        <v>2</v>
      </c>
      <c r="F77" s="95">
        <v>2</v>
      </c>
    </row>
    <row r="78" spans="1:6" x14ac:dyDescent="0.25">
      <c r="A78" s="245"/>
      <c r="B78" s="229"/>
      <c r="C78" s="102" t="s">
        <v>156</v>
      </c>
      <c r="D78" s="104"/>
      <c r="E78" s="94">
        <v>2</v>
      </c>
      <c r="F78" s="95">
        <v>2</v>
      </c>
    </row>
    <row r="79" spans="1:6" x14ac:dyDescent="0.25">
      <c r="A79" s="245"/>
      <c r="B79" s="229"/>
      <c r="C79" s="106" t="s">
        <v>157</v>
      </c>
      <c r="D79" s="104"/>
      <c r="E79" s="94">
        <v>2</v>
      </c>
      <c r="F79" s="95">
        <v>2</v>
      </c>
    </row>
    <row r="80" spans="1:6" x14ac:dyDescent="0.25">
      <c r="A80" s="245"/>
      <c r="B80" s="229"/>
      <c r="C80" s="102" t="s">
        <v>158</v>
      </c>
      <c r="D80" s="104"/>
      <c r="E80" s="94">
        <v>1</v>
      </c>
      <c r="F80" s="95">
        <v>1</v>
      </c>
    </row>
    <row r="81" spans="1:6" x14ac:dyDescent="0.25">
      <c r="A81" s="245"/>
      <c r="B81" s="220"/>
      <c r="C81" s="102" t="s">
        <v>159</v>
      </c>
      <c r="D81" s="104"/>
      <c r="E81" s="94">
        <v>1</v>
      </c>
      <c r="F81" s="95">
        <v>1</v>
      </c>
    </row>
    <row r="82" spans="1:6" x14ac:dyDescent="0.25">
      <c r="A82" s="245"/>
      <c r="B82" s="228" t="s">
        <v>160</v>
      </c>
      <c r="C82" s="101" t="s">
        <v>161</v>
      </c>
      <c r="D82" s="104"/>
      <c r="E82" s="217">
        <v>2</v>
      </c>
      <c r="F82" s="222">
        <v>2</v>
      </c>
    </row>
    <row r="83" spans="1:6" x14ac:dyDescent="0.25">
      <c r="A83" s="245"/>
      <c r="B83" s="228"/>
      <c r="C83" s="101" t="s">
        <v>162</v>
      </c>
      <c r="D83" s="104"/>
      <c r="E83" s="223"/>
      <c r="F83" s="222"/>
    </row>
    <row r="84" spans="1:6" x14ac:dyDescent="0.25">
      <c r="A84" s="245"/>
      <c r="B84" s="228" t="s">
        <v>163</v>
      </c>
      <c r="C84" s="101" t="s">
        <v>80</v>
      </c>
      <c r="D84" s="104"/>
      <c r="E84" s="217">
        <v>2</v>
      </c>
      <c r="F84" s="222">
        <v>2</v>
      </c>
    </row>
    <row r="85" spans="1:6" x14ac:dyDescent="0.25">
      <c r="A85" s="245"/>
      <c r="B85" s="228"/>
      <c r="C85" s="101" t="s">
        <v>164</v>
      </c>
      <c r="D85" s="104"/>
      <c r="E85" s="218"/>
      <c r="F85" s="222"/>
    </row>
    <row r="86" spans="1:6" x14ac:dyDescent="0.25">
      <c r="A86" s="245"/>
      <c r="B86" s="228"/>
      <c r="C86" s="101" t="s">
        <v>165</v>
      </c>
      <c r="D86" s="104"/>
      <c r="E86" s="218"/>
      <c r="F86" s="222"/>
    </row>
    <row r="87" spans="1:6" x14ac:dyDescent="0.25">
      <c r="A87" s="245"/>
      <c r="B87" s="228"/>
      <c r="C87" s="101" t="s">
        <v>166</v>
      </c>
      <c r="D87" s="104"/>
      <c r="E87" s="223"/>
      <c r="F87" s="222"/>
    </row>
    <row r="88" spans="1:6" x14ac:dyDescent="0.25">
      <c r="A88" s="245"/>
      <c r="B88" s="228" t="s">
        <v>167</v>
      </c>
      <c r="C88" s="101" t="s">
        <v>168</v>
      </c>
      <c r="D88" s="104"/>
      <c r="E88" s="217">
        <v>2</v>
      </c>
      <c r="F88" s="222">
        <v>2</v>
      </c>
    </row>
    <row r="89" spans="1:6" x14ac:dyDescent="0.25">
      <c r="A89" s="245"/>
      <c r="B89" s="228"/>
      <c r="C89" s="101" t="s">
        <v>169</v>
      </c>
      <c r="D89" s="104"/>
      <c r="E89" s="218"/>
      <c r="F89" s="222"/>
    </row>
    <row r="90" spans="1:6" x14ac:dyDescent="0.25">
      <c r="A90" s="245"/>
      <c r="B90" s="228"/>
      <c r="C90" s="101" t="s">
        <v>170</v>
      </c>
      <c r="D90" s="104"/>
      <c r="E90" s="223"/>
      <c r="F90" s="222"/>
    </row>
    <row r="91" spans="1:6" x14ac:dyDescent="0.25">
      <c r="A91" s="245"/>
      <c r="B91" s="228" t="s">
        <v>171</v>
      </c>
      <c r="C91" s="101" t="s">
        <v>81</v>
      </c>
      <c r="D91" s="104"/>
      <c r="E91" s="217">
        <v>2</v>
      </c>
      <c r="F91" s="222">
        <v>2</v>
      </c>
    </row>
    <row r="92" spans="1:6" x14ac:dyDescent="0.25">
      <c r="A92" s="245"/>
      <c r="B92" s="228"/>
      <c r="C92" s="101" t="s">
        <v>172</v>
      </c>
      <c r="D92" s="104"/>
      <c r="E92" s="218"/>
      <c r="F92" s="222"/>
    </row>
    <row r="93" spans="1:6" x14ac:dyDescent="0.25">
      <c r="A93" s="245"/>
      <c r="B93" s="228"/>
      <c r="C93" s="101" t="s">
        <v>173</v>
      </c>
      <c r="D93" s="104"/>
      <c r="E93" s="218"/>
      <c r="F93" s="222"/>
    </row>
    <row r="94" spans="1:6" x14ac:dyDescent="0.25">
      <c r="A94" s="245"/>
      <c r="B94" s="228"/>
      <c r="C94" s="101" t="s">
        <v>174</v>
      </c>
      <c r="D94" s="104"/>
      <c r="E94" s="223"/>
      <c r="F94" s="222"/>
    </row>
    <row r="95" spans="1:6" x14ac:dyDescent="0.25">
      <c r="A95" s="245"/>
      <c r="B95" s="228" t="s">
        <v>175</v>
      </c>
      <c r="C95" s="101" t="s">
        <v>176</v>
      </c>
      <c r="D95" s="104"/>
      <c r="E95" s="217">
        <v>4</v>
      </c>
      <c r="F95" s="222">
        <v>3</v>
      </c>
    </row>
    <row r="96" spans="1:6" x14ac:dyDescent="0.25">
      <c r="A96" s="245"/>
      <c r="B96" s="228"/>
      <c r="C96" s="101" t="s">
        <v>177</v>
      </c>
      <c r="D96" s="104"/>
      <c r="E96" s="218"/>
      <c r="F96" s="222"/>
    </row>
    <row r="97" spans="1:7" x14ac:dyDescent="0.25">
      <c r="A97" s="245"/>
      <c r="B97" s="228"/>
      <c r="C97" s="101" t="s">
        <v>178</v>
      </c>
      <c r="D97" s="104"/>
      <c r="E97" s="218"/>
      <c r="F97" s="222"/>
    </row>
    <row r="98" spans="1:7" x14ac:dyDescent="0.25">
      <c r="A98" s="245"/>
      <c r="B98" s="228"/>
      <c r="C98" s="101" t="s">
        <v>256</v>
      </c>
      <c r="D98" s="104"/>
      <c r="E98" s="218"/>
      <c r="F98" s="222"/>
    </row>
    <row r="99" spans="1:7" x14ac:dyDescent="0.25">
      <c r="A99" s="245"/>
      <c r="B99" s="228"/>
      <c r="C99" s="101" t="s">
        <v>179</v>
      </c>
      <c r="D99" s="104"/>
      <c r="E99" s="223"/>
      <c r="F99" s="222"/>
    </row>
    <row r="100" spans="1:7" x14ac:dyDescent="0.25">
      <c r="A100" s="245"/>
      <c r="B100" s="219" t="s">
        <v>145</v>
      </c>
      <c r="C100" s="230" t="s">
        <v>145</v>
      </c>
      <c r="D100" s="107"/>
      <c r="E100" s="108">
        <v>2</v>
      </c>
      <c r="F100" s="109">
        <v>3</v>
      </c>
    </row>
    <row r="101" spans="1:7" x14ac:dyDescent="0.25">
      <c r="A101" s="245"/>
      <c r="B101" s="229"/>
      <c r="C101" s="230"/>
      <c r="D101" s="107"/>
      <c r="E101" s="94">
        <v>2</v>
      </c>
      <c r="F101" s="109">
        <v>1</v>
      </c>
    </row>
    <row r="102" spans="1:7" x14ac:dyDescent="0.25">
      <c r="A102" s="245"/>
      <c r="B102" s="229"/>
      <c r="C102" s="101" t="s">
        <v>180</v>
      </c>
      <c r="D102" s="107"/>
      <c r="E102" s="94">
        <v>3</v>
      </c>
      <c r="F102" s="109">
        <v>1</v>
      </c>
    </row>
    <row r="103" spans="1:7" x14ac:dyDescent="0.25">
      <c r="A103" s="245"/>
      <c r="B103" s="220"/>
      <c r="C103" s="101" t="s">
        <v>146</v>
      </c>
      <c r="D103" s="107"/>
      <c r="E103" s="94">
        <v>1</v>
      </c>
      <c r="F103" s="109">
        <v>1</v>
      </c>
    </row>
    <row r="104" spans="1:7" x14ac:dyDescent="0.25">
      <c r="A104" s="245"/>
      <c r="B104" s="219" t="s">
        <v>257</v>
      </c>
      <c r="C104" s="110" t="s">
        <v>258</v>
      </c>
      <c r="D104" s="107"/>
      <c r="E104" s="221">
        <v>2</v>
      </c>
      <c r="F104" s="222">
        <v>1</v>
      </c>
    </row>
    <row r="105" spans="1:7" x14ac:dyDescent="0.25">
      <c r="A105" s="245"/>
      <c r="B105" s="220"/>
      <c r="C105" s="110" t="s">
        <v>259</v>
      </c>
      <c r="D105" s="107"/>
      <c r="E105" s="221"/>
      <c r="F105" s="222"/>
    </row>
    <row r="106" spans="1:7" x14ac:dyDescent="0.25">
      <c r="A106" s="245"/>
      <c r="B106" s="228" t="s">
        <v>73</v>
      </c>
      <c r="C106" s="101" t="s">
        <v>74</v>
      </c>
      <c r="D106" s="107"/>
      <c r="E106" s="217">
        <v>3</v>
      </c>
      <c r="F106" s="216">
        <v>2</v>
      </c>
    </row>
    <row r="107" spans="1:7" x14ac:dyDescent="0.25">
      <c r="A107" s="245"/>
      <c r="B107" s="228"/>
      <c r="C107" s="101" t="s">
        <v>75</v>
      </c>
      <c r="D107" s="107"/>
      <c r="E107" s="218"/>
      <c r="F107" s="216"/>
    </row>
    <row r="108" spans="1:7" x14ac:dyDescent="0.25">
      <c r="A108" s="245"/>
      <c r="B108" s="228"/>
      <c r="C108" s="101" t="s">
        <v>76</v>
      </c>
      <c r="D108" s="107"/>
      <c r="E108" s="218"/>
      <c r="F108" s="216"/>
    </row>
    <row r="109" spans="1:7" x14ac:dyDescent="0.25">
      <c r="A109" s="245"/>
      <c r="B109" s="228" t="s">
        <v>77</v>
      </c>
      <c r="C109" s="101" t="s">
        <v>78</v>
      </c>
      <c r="D109" s="107"/>
      <c r="E109" s="218"/>
      <c r="F109" s="216"/>
    </row>
    <row r="110" spans="1:7" x14ac:dyDescent="0.25">
      <c r="A110" s="245"/>
      <c r="B110" s="228"/>
      <c r="C110" s="101" t="s">
        <v>79</v>
      </c>
      <c r="D110" s="107"/>
      <c r="E110" s="223"/>
      <c r="F110" s="224"/>
    </row>
    <row r="111" spans="1:7" x14ac:dyDescent="0.25">
      <c r="A111" s="247"/>
      <c r="B111" s="228"/>
      <c r="C111" s="101" t="s">
        <v>246</v>
      </c>
      <c r="D111" s="107"/>
      <c r="E111" s="111">
        <v>2</v>
      </c>
      <c r="F111" s="112">
        <v>2</v>
      </c>
    </row>
    <row r="112" spans="1:7" x14ac:dyDescent="0.25">
      <c r="A112" s="62"/>
      <c r="B112" s="113"/>
      <c r="C112" s="62"/>
      <c r="D112" s="114" t="s">
        <v>224</v>
      </c>
      <c r="E112" s="115">
        <f>SUM(E3:E111)</f>
        <v>156</v>
      </c>
      <c r="F112" s="115">
        <f>SUM(F3:F111)</f>
        <v>131</v>
      </c>
      <c r="G112" s="115">
        <f>F112+E112</f>
        <v>287</v>
      </c>
    </row>
  </sheetData>
  <mergeCells count="64">
    <mergeCell ref="A1:A2"/>
    <mergeCell ref="B1:B2"/>
    <mergeCell ref="C1:C2"/>
    <mergeCell ref="D1:D2"/>
    <mergeCell ref="E61:E62"/>
    <mergeCell ref="A3:A30"/>
    <mergeCell ref="A31:A58"/>
    <mergeCell ref="B24:B25"/>
    <mergeCell ref="D3:D30"/>
    <mergeCell ref="C29:C30"/>
    <mergeCell ref="B31:B32"/>
    <mergeCell ref="B29:B30"/>
    <mergeCell ref="A59:A111"/>
    <mergeCell ref="B106:B108"/>
    <mergeCell ref="B61:B62"/>
    <mergeCell ref="F61:F62"/>
    <mergeCell ref="F88:F90"/>
    <mergeCell ref="B91:B94"/>
    <mergeCell ref="E1:F1"/>
    <mergeCell ref="E106:E110"/>
    <mergeCell ref="F106:F110"/>
    <mergeCell ref="B109:B111"/>
    <mergeCell ref="B41:B44"/>
    <mergeCell ref="B45:B48"/>
    <mergeCell ref="B49:B52"/>
    <mergeCell ref="B53:B58"/>
    <mergeCell ref="B26:B28"/>
    <mergeCell ref="B3:B11"/>
    <mergeCell ref="B12:B17"/>
    <mergeCell ref="B18:B21"/>
    <mergeCell ref="B22:B23"/>
    <mergeCell ref="F63:F66"/>
    <mergeCell ref="B69:B81"/>
    <mergeCell ref="B82:B83"/>
    <mergeCell ref="E82:E83"/>
    <mergeCell ref="F82:F83"/>
    <mergeCell ref="B63:B68"/>
    <mergeCell ref="C63:C66"/>
    <mergeCell ref="C67:C68"/>
    <mergeCell ref="E95:E99"/>
    <mergeCell ref="F95:F99"/>
    <mergeCell ref="B100:B103"/>
    <mergeCell ref="C100:C101"/>
    <mergeCell ref="B88:B90"/>
    <mergeCell ref="E88:E90"/>
    <mergeCell ref="F91:F94"/>
    <mergeCell ref="B95:B99"/>
    <mergeCell ref="E91:E94"/>
    <mergeCell ref="F26:F28"/>
    <mergeCell ref="E26:E28"/>
    <mergeCell ref="B104:B105"/>
    <mergeCell ref="E104:E105"/>
    <mergeCell ref="F104:F105"/>
    <mergeCell ref="D31:D58"/>
    <mergeCell ref="F67:F68"/>
    <mergeCell ref="E63:E66"/>
    <mergeCell ref="E67:E68"/>
    <mergeCell ref="B33:B40"/>
    <mergeCell ref="B59:B60"/>
    <mergeCell ref="E59:E60"/>
    <mergeCell ref="F59:F60"/>
    <mergeCell ref="B84:B87"/>
    <mergeCell ref="E84:E87"/>
    <mergeCell ref="F84:F87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客户门户移动端</vt:lpstr>
      <vt:lpstr>客户门户PC端</vt:lpstr>
      <vt:lpstr>大数据推荐引擎</vt:lpstr>
      <vt:lpstr>外协人天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00753105</dc:creator>
  <cp:lastModifiedBy>Administrator</cp:lastModifiedBy>
  <dcterms:created xsi:type="dcterms:W3CDTF">2019-11-14T07:50:00Z</dcterms:created>
  <dcterms:modified xsi:type="dcterms:W3CDTF">2020-03-29T05:45:26Z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2052-2.0.0.3163</vt:lpwstr>
  </property>
</Properties>
</file>